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00. Ade Setiyawan (berkas penting pribadi)\SMKN1 JATIROTO\MAPEL PWPB XII\"/>
    </mc:Choice>
  </mc:AlternateContent>
  <xr:revisionPtr revIDLastSave="0" documentId="13_ncr:1_{A7B4AA8A-5EF7-47D5-9F5A-B51C5AE07CC7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ata mapel" sheetId="6" state="hidden" r:id="rId1"/>
    <sheet name="data siswa" sheetId="7" state="hidden" r:id="rId2"/>
    <sheet name="menu" sheetId="1" r:id="rId3"/>
    <sheet name="data" sheetId="2" state="hidden" r:id="rId4"/>
  </sheets>
  <definedNames>
    <definedName name="_xlnm._FilterDatabase" localSheetId="2" hidden="1">menu!$F$2:$I$8</definedName>
    <definedName name="adi">data!$H$6:$CF$46</definedName>
    <definedName name="bulan">#REF!</definedName>
    <definedName name="gotong">menu!$V$19:$W$21</definedName>
    <definedName name="integritas">menu!$V$3:$W$5</definedName>
    <definedName name="kelas">'data siswa'!$A$43:$B$70</definedName>
    <definedName name="mandiri">menu!$V$15:$W$17</definedName>
    <definedName name="mapel">'data mapel'!$B$2:$T$20</definedName>
    <definedName name="nasionalis">menu!$V$11:$W$13</definedName>
    <definedName name="religius">menu!$V$7:$W$9</definedName>
    <definedName name="siswa">'data siswa'!$A$1:$CD$38</definedName>
  </definedNames>
  <calcPr calcId="181029"/>
</workbook>
</file>

<file path=xl/calcChain.xml><?xml version="1.0" encoding="utf-8"?>
<calcChain xmlns="http://schemas.openxmlformats.org/spreadsheetml/2006/main">
  <c r="G44" i="1" l="1"/>
  <c r="H44" i="1" s="1"/>
  <c r="G45" i="1"/>
  <c r="H45" i="1" s="1"/>
  <c r="I45" i="1" l="1"/>
  <c r="I44" i="1"/>
  <c r="G10" i="1"/>
  <c r="I10" i="1" s="1"/>
  <c r="G11" i="1"/>
  <c r="H11" i="1" s="1"/>
  <c r="H10" i="1" l="1"/>
  <c r="I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D39" i="7"/>
  <c r="CD39" i="7"/>
  <c r="CA39" i="7"/>
  <c r="BX39" i="7"/>
  <c r="BU39" i="7"/>
  <c r="BR39" i="7"/>
  <c r="BO39" i="7"/>
  <c r="BL39" i="7"/>
  <c r="BI39" i="7"/>
  <c r="BF39" i="7"/>
  <c r="BC39" i="7"/>
  <c r="AZ39" i="7"/>
  <c r="AW39" i="7"/>
  <c r="AT39" i="7"/>
  <c r="AQ39" i="7"/>
  <c r="AN39" i="7"/>
  <c r="AK39" i="7"/>
  <c r="AH39" i="7"/>
  <c r="AE39" i="7"/>
  <c r="AB39" i="7"/>
  <c r="Y39" i="7"/>
  <c r="V39" i="7"/>
  <c r="S39" i="7"/>
  <c r="P39" i="7"/>
  <c r="M39" i="7"/>
  <c r="J39" i="7"/>
  <c r="G39" i="7"/>
  <c r="E7" i="1"/>
  <c r="E6" i="1"/>
  <c r="H39" i="1" l="1"/>
  <c r="I39" i="1"/>
  <c r="H33" i="1"/>
  <c r="I33" i="1"/>
  <c r="H27" i="1"/>
  <c r="I27" i="1"/>
  <c r="H21" i="1"/>
  <c r="I21" i="1"/>
  <c r="H15" i="1"/>
  <c r="I15" i="1"/>
  <c r="I38" i="1"/>
  <c r="H38" i="1"/>
  <c r="I32" i="1"/>
  <c r="H32" i="1"/>
  <c r="I26" i="1"/>
  <c r="H26" i="1"/>
  <c r="I20" i="1"/>
  <c r="H20" i="1"/>
  <c r="I14" i="1"/>
  <c r="H14" i="1"/>
  <c r="H43" i="1"/>
  <c r="I43" i="1"/>
  <c r="H37" i="1"/>
  <c r="I37" i="1"/>
  <c r="H31" i="1"/>
  <c r="I31" i="1"/>
  <c r="H25" i="1"/>
  <c r="I25" i="1"/>
  <c r="H19" i="1"/>
  <c r="I19" i="1"/>
  <c r="I13" i="1"/>
  <c r="H13" i="1"/>
  <c r="H42" i="1"/>
  <c r="I42" i="1"/>
  <c r="H36" i="1"/>
  <c r="I36" i="1"/>
  <c r="H30" i="1"/>
  <c r="I30" i="1"/>
  <c r="H24" i="1"/>
  <c r="I24" i="1"/>
  <c r="H18" i="1"/>
  <c r="I18" i="1"/>
  <c r="H12" i="1"/>
  <c r="I12" i="1"/>
  <c r="I41" i="1"/>
  <c r="H41" i="1"/>
  <c r="I35" i="1"/>
  <c r="H35" i="1"/>
  <c r="I29" i="1"/>
  <c r="H29" i="1"/>
  <c r="I23" i="1"/>
  <c r="H23" i="1"/>
  <c r="I17" i="1"/>
  <c r="H17" i="1"/>
  <c r="H40" i="1"/>
  <c r="I40" i="1"/>
  <c r="H34" i="1"/>
  <c r="I34" i="1"/>
  <c r="H28" i="1"/>
  <c r="I28" i="1"/>
  <c r="H22" i="1"/>
  <c r="I22" i="1"/>
  <c r="H16" i="1"/>
  <c r="I16" i="1"/>
  <c r="CE39" i="7"/>
  <c r="A39" i="7"/>
  <c r="E46" i="1" l="1"/>
  <c r="F46" i="1"/>
  <c r="E47" i="1"/>
  <c r="F47" i="1"/>
  <c r="E48" i="1"/>
  <c r="F48" i="1"/>
  <c r="G48" i="1" l="1"/>
  <c r="G47" i="1"/>
  <c r="G46" i="1"/>
  <c r="R18" i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F32" i="2"/>
  <c r="BF33" i="2"/>
  <c r="BF34" i="2"/>
  <c r="BF35" i="2"/>
  <c r="BF36" i="2"/>
  <c r="BF37" i="2"/>
  <c r="BF38" i="2"/>
  <c r="BF39" i="2"/>
  <c r="BF40" i="2"/>
  <c r="BF41" i="2"/>
  <c r="BF42" i="2"/>
  <c r="BF43" i="2"/>
  <c r="BF8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9" i="2"/>
  <c r="BC10" i="2"/>
  <c r="BC8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8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8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8" i="2"/>
  <c r="H44" i="2"/>
  <c r="I44" i="2"/>
  <c r="K44" i="2"/>
  <c r="L44" i="2"/>
  <c r="N44" i="2"/>
  <c r="O44" i="2"/>
  <c r="Q44" i="2"/>
  <c r="R44" i="2"/>
  <c r="T44" i="2"/>
  <c r="U44" i="2"/>
  <c r="W44" i="2"/>
  <c r="X44" i="2"/>
  <c r="Z44" i="2"/>
  <c r="AA44" i="2"/>
  <c r="AC44" i="2"/>
  <c r="AD44" i="2"/>
  <c r="AF44" i="2"/>
  <c r="AG44" i="2"/>
  <c r="AI44" i="2"/>
  <c r="AJ44" i="2"/>
  <c r="AL44" i="2"/>
  <c r="AM44" i="2"/>
  <c r="AO44" i="2"/>
  <c r="AP44" i="2"/>
  <c r="AR44" i="2"/>
  <c r="AS44" i="2"/>
  <c r="AU44" i="2"/>
  <c r="AV44" i="2"/>
  <c r="AX44" i="2"/>
  <c r="AY44" i="2"/>
  <c r="BA44" i="2"/>
  <c r="BB44" i="2"/>
  <c r="BD44" i="2"/>
  <c r="H45" i="2"/>
  <c r="I45" i="2"/>
  <c r="K45" i="2"/>
  <c r="L45" i="2"/>
  <c r="N45" i="2"/>
  <c r="O45" i="2"/>
  <c r="Q45" i="2"/>
  <c r="R45" i="2"/>
  <c r="T45" i="2"/>
  <c r="U45" i="2"/>
  <c r="W45" i="2"/>
  <c r="X45" i="2"/>
  <c r="Z45" i="2"/>
  <c r="AA45" i="2"/>
  <c r="AC45" i="2"/>
  <c r="AD45" i="2"/>
  <c r="AF45" i="2"/>
  <c r="AG45" i="2"/>
  <c r="AI45" i="2"/>
  <c r="AJ45" i="2"/>
  <c r="AL45" i="2"/>
  <c r="AM45" i="2"/>
  <c r="AO45" i="2"/>
  <c r="AP45" i="2"/>
  <c r="AR45" i="2"/>
  <c r="AS45" i="2"/>
  <c r="AU45" i="2"/>
  <c r="AV45" i="2"/>
  <c r="AX45" i="2"/>
  <c r="AY45" i="2"/>
  <c r="BA45" i="2"/>
  <c r="BB45" i="2"/>
  <c r="BD45" i="2"/>
  <c r="H46" i="2"/>
  <c r="I46" i="2"/>
  <c r="K46" i="2"/>
  <c r="L46" i="2"/>
  <c r="N46" i="2"/>
  <c r="O46" i="2"/>
  <c r="Q46" i="2"/>
  <c r="R46" i="2"/>
  <c r="T46" i="2"/>
  <c r="U46" i="2"/>
  <c r="W46" i="2"/>
  <c r="X46" i="2"/>
  <c r="Z46" i="2"/>
  <c r="AA46" i="2"/>
  <c r="AC46" i="2"/>
  <c r="AD46" i="2"/>
  <c r="AF46" i="2"/>
  <c r="AG46" i="2"/>
  <c r="AI46" i="2"/>
  <c r="AJ46" i="2"/>
  <c r="AL46" i="2"/>
  <c r="AM46" i="2"/>
  <c r="AO46" i="2"/>
  <c r="AP46" i="2"/>
  <c r="AR46" i="2"/>
  <c r="AS46" i="2"/>
  <c r="AU46" i="2"/>
  <c r="AV46" i="2"/>
  <c r="AX46" i="2"/>
  <c r="AY46" i="2"/>
  <c r="BA46" i="2"/>
  <c r="BB46" i="2"/>
  <c r="BD46" i="2"/>
  <c r="T22" i="6"/>
  <c r="R22" i="6"/>
  <c r="P22" i="6"/>
  <c r="N22" i="6"/>
  <c r="L22" i="6"/>
  <c r="J22" i="6"/>
  <c r="H22" i="6"/>
  <c r="F22" i="6"/>
  <c r="D22" i="6"/>
  <c r="CX43" i="2"/>
  <c r="CW43" i="2"/>
  <c r="CV43" i="2"/>
  <c r="CU43" i="2"/>
  <c r="CT43" i="2"/>
  <c r="CS43" i="2"/>
  <c r="CR43" i="2"/>
  <c r="CQ43" i="2"/>
  <c r="CO43" i="2"/>
  <c r="CN43" i="2"/>
  <c r="CM43" i="2"/>
  <c r="CK43" i="2"/>
  <c r="CX42" i="2"/>
  <c r="CW42" i="2"/>
  <c r="CV42" i="2"/>
  <c r="CU42" i="2"/>
  <c r="CT42" i="2"/>
  <c r="CS42" i="2"/>
  <c r="CR42" i="2"/>
  <c r="CQ42" i="2"/>
  <c r="CO42" i="2"/>
  <c r="CN42" i="2"/>
  <c r="CM42" i="2"/>
  <c r="CK42" i="2"/>
  <c r="CX41" i="2"/>
  <c r="CW41" i="2"/>
  <c r="CV41" i="2"/>
  <c r="CU41" i="2"/>
  <c r="CT41" i="2"/>
  <c r="CS41" i="2"/>
  <c r="CR41" i="2"/>
  <c r="CQ41" i="2"/>
  <c r="CO41" i="2"/>
  <c r="CN41" i="2"/>
  <c r="CM41" i="2"/>
  <c r="CK41" i="2"/>
  <c r="CX40" i="2"/>
  <c r="CW40" i="2"/>
  <c r="CV40" i="2"/>
  <c r="CU40" i="2"/>
  <c r="CT40" i="2"/>
  <c r="CS40" i="2"/>
  <c r="CR40" i="2"/>
  <c r="CQ40" i="2"/>
  <c r="CO40" i="2"/>
  <c r="CN40" i="2"/>
  <c r="CM40" i="2"/>
  <c r="CK40" i="2"/>
  <c r="CX39" i="2"/>
  <c r="CW39" i="2"/>
  <c r="CV39" i="2"/>
  <c r="CU39" i="2"/>
  <c r="CT39" i="2"/>
  <c r="CS39" i="2"/>
  <c r="CR39" i="2"/>
  <c r="CQ39" i="2"/>
  <c r="CO39" i="2"/>
  <c r="CN39" i="2"/>
  <c r="CM39" i="2"/>
  <c r="CK39" i="2"/>
  <c r="CX38" i="2"/>
  <c r="CW38" i="2"/>
  <c r="CV38" i="2"/>
  <c r="CU38" i="2"/>
  <c r="CT38" i="2"/>
  <c r="CS38" i="2"/>
  <c r="CR38" i="2"/>
  <c r="CQ38" i="2"/>
  <c r="CO38" i="2"/>
  <c r="CN38" i="2"/>
  <c r="CM38" i="2"/>
  <c r="CK38" i="2"/>
  <c r="CX37" i="2"/>
  <c r="CW37" i="2"/>
  <c r="CV37" i="2"/>
  <c r="CU37" i="2"/>
  <c r="CT37" i="2"/>
  <c r="CS37" i="2"/>
  <c r="CR37" i="2"/>
  <c r="CQ37" i="2"/>
  <c r="CO37" i="2"/>
  <c r="CN37" i="2"/>
  <c r="CM37" i="2"/>
  <c r="CK37" i="2"/>
  <c r="CX36" i="2"/>
  <c r="CW36" i="2"/>
  <c r="CV36" i="2"/>
  <c r="CU36" i="2"/>
  <c r="CT36" i="2"/>
  <c r="CS36" i="2"/>
  <c r="CR36" i="2"/>
  <c r="CQ36" i="2"/>
  <c r="CO36" i="2"/>
  <c r="CN36" i="2"/>
  <c r="CM36" i="2"/>
  <c r="CK36" i="2"/>
  <c r="CX35" i="2"/>
  <c r="CW35" i="2"/>
  <c r="CV35" i="2"/>
  <c r="CU35" i="2"/>
  <c r="CT35" i="2"/>
  <c r="CS35" i="2"/>
  <c r="CY35" i="2" s="1"/>
  <c r="CZ35" i="2" s="1"/>
  <c r="CR35" i="2"/>
  <c r="CQ35" i="2"/>
  <c r="CO35" i="2"/>
  <c r="CN35" i="2"/>
  <c r="CM35" i="2"/>
  <c r="CK35" i="2"/>
  <c r="CX34" i="2"/>
  <c r="CW34" i="2"/>
  <c r="CV34" i="2"/>
  <c r="CU34" i="2"/>
  <c r="CT34" i="2"/>
  <c r="CS34" i="2"/>
  <c r="CR34" i="2"/>
  <c r="CQ34" i="2"/>
  <c r="CO34" i="2"/>
  <c r="CN34" i="2"/>
  <c r="CM34" i="2"/>
  <c r="CK34" i="2"/>
  <c r="CX33" i="2"/>
  <c r="CW33" i="2"/>
  <c r="CV33" i="2"/>
  <c r="CU33" i="2"/>
  <c r="CT33" i="2"/>
  <c r="CS33" i="2"/>
  <c r="CR33" i="2"/>
  <c r="CQ33" i="2"/>
  <c r="CO33" i="2"/>
  <c r="CN33" i="2"/>
  <c r="CM33" i="2"/>
  <c r="CK33" i="2"/>
  <c r="CX32" i="2"/>
  <c r="CW32" i="2"/>
  <c r="CV32" i="2"/>
  <c r="CU32" i="2"/>
  <c r="CT32" i="2"/>
  <c r="CS32" i="2"/>
  <c r="CR32" i="2"/>
  <c r="CQ32" i="2"/>
  <c r="CO32" i="2"/>
  <c r="CN32" i="2"/>
  <c r="CM32" i="2"/>
  <c r="CK32" i="2"/>
  <c r="CX31" i="2"/>
  <c r="CW31" i="2"/>
  <c r="CV31" i="2"/>
  <c r="CU31" i="2"/>
  <c r="CT31" i="2"/>
  <c r="CS31" i="2"/>
  <c r="CR31" i="2"/>
  <c r="CQ31" i="2"/>
  <c r="CO31" i="2"/>
  <c r="CN31" i="2"/>
  <c r="CM31" i="2"/>
  <c r="CK31" i="2"/>
  <c r="CX30" i="2"/>
  <c r="CW30" i="2"/>
  <c r="CV30" i="2"/>
  <c r="CU30" i="2"/>
  <c r="CT30" i="2"/>
  <c r="CS30" i="2"/>
  <c r="CR30" i="2"/>
  <c r="CQ30" i="2"/>
  <c r="CO30" i="2"/>
  <c r="CN30" i="2"/>
  <c r="CM30" i="2"/>
  <c r="CK30" i="2"/>
  <c r="CX29" i="2"/>
  <c r="CW29" i="2"/>
  <c r="CV29" i="2"/>
  <c r="CU29" i="2"/>
  <c r="CT29" i="2"/>
  <c r="CS29" i="2"/>
  <c r="CR29" i="2"/>
  <c r="CQ29" i="2"/>
  <c r="CO29" i="2"/>
  <c r="CN29" i="2"/>
  <c r="CM29" i="2"/>
  <c r="CK29" i="2"/>
  <c r="CX28" i="2"/>
  <c r="CW28" i="2"/>
  <c r="CV28" i="2"/>
  <c r="CU28" i="2"/>
  <c r="CT28" i="2"/>
  <c r="CS28" i="2"/>
  <c r="CR28" i="2"/>
  <c r="CQ28" i="2"/>
  <c r="CO28" i="2"/>
  <c r="CN28" i="2"/>
  <c r="CM28" i="2"/>
  <c r="CK28" i="2"/>
  <c r="CX27" i="2"/>
  <c r="CW27" i="2"/>
  <c r="CV27" i="2"/>
  <c r="CU27" i="2"/>
  <c r="CT27" i="2"/>
  <c r="CS27" i="2"/>
  <c r="CR27" i="2"/>
  <c r="CQ27" i="2"/>
  <c r="CO27" i="2"/>
  <c r="CN27" i="2"/>
  <c r="CM27" i="2"/>
  <c r="CK27" i="2"/>
  <c r="CX26" i="2"/>
  <c r="CW26" i="2"/>
  <c r="CV26" i="2"/>
  <c r="CU26" i="2"/>
  <c r="CT26" i="2"/>
  <c r="CS26" i="2"/>
  <c r="CR26" i="2"/>
  <c r="CQ26" i="2"/>
  <c r="CO26" i="2"/>
  <c r="CN26" i="2"/>
  <c r="CM26" i="2"/>
  <c r="CK26" i="2"/>
  <c r="CX25" i="2"/>
  <c r="CW25" i="2"/>
  <c r="CV25" i="2"/>
  <c r="CU25" i="2"/>
  <c r="CT25" i="2"/>
  <c r="CS25" i="2"/>
  <c r="CR25" i="2"/>
  <c r="CQ25" i="2"/>
  <c r="CO25" i="2"/>
  <c r="CN25" i="2"/>
  <c r="CM25" i="2"/>
  <c r="CK25" i="2"/>
  <c r="CX24" i="2"/>
  <c r="CW24" i="2"/>
  <c r="CV24" i="2"/>
  <c r="CU24" i="2"/>
  <c r="CT24" i="2"/>
  <c r="CS24" i="2"/>
  <c r="CR24" i="2"/>
  <c r="CQ24" i="2"/>
  <c r="CO24" i="2"/>
  <c r="CN24" i="2"/>
  <c r="CM24" i="2"/>
  <c r="CK24" i="2"/>
  <c r="CX23" i="2"/>
  <c r="CW23" i="2"/>
  <c r="CV23" i="2"/>
  <c r="CU23" i="2"/>
  <c r="CT23" i="2"/>
  <c r="CS23" i="2"/>
  <c r="CR23" i="2"/>
  <c r="CQ23" i="2"/>
  <c r="CO23" i="2"/>
  <c r="CN23" i="2"/>
  <c r="CM23" i="2"/>
  <c r="CK23" i="2"/>
  <c r="CX22" i="2"/>
  <c r="CW22" i="2"/>
  <c r="CV22" i="2"/>
  <c r="CU22" i="2"/>
  <c r="CT22" i="2"/>
  <c r="CS22" i="2"/>
  <c r="CR22" i="2"/>
  <c r="CQ22" i="2"/>
  <c r="CO22" i="2"/>
  <c r="CN22" i="2"/>
  <c r="CM22" i="2"/>
  <c r="CK22" i="2"/>
  <c r="CX21" i="2"/>
  <c r="CW21" i="2"/>
  <c r="CV21" i="2"/>
  <c r="CU21" i="2"/>
  <c r="CT21" i="2"/>
  <c r="CS21" i="2"/>
  <c r="CR21" i="2"/>
  <c r="CQ21" i="2"/>
  <c r="CO21" i="2"/>
  <c r="CN21" i="2"/>
  <c r="CM21" i="2"/>
  <c r="CK21" i="2"/>
  <c r="CX20" i="2"/>
  <c r="CW20" i="2"/>
  <c r="CV20" i="2"/>
  <c r="CU20" i="2"/>
  <c r="CT20" i="2"/>
  <c r="CS20" i="2"/>
  <c r="CR20" i="2"/>
  <c r="CQ20" i="2"/>
  <c r="CO20" i="2"/>
  <c r="CN20" i="2"/>
  <c r="CM20" i="2"/>
  <c r="CK20" i="2"/>
  <c r="CX19" i="2"/>
  <c r="CW19" i="2"/>
  <c r="CV19" i="2"/>
  <c r="CU19" i="2"/>
  <c r="CT19" i="2"/>
  <c r="CS19" i="2"/>
  <c r="CR19" i="2"/>
  <c r="CQ19" i="2"/>
  <c r="CO19" i="2"/>
  <c r="CN19" i="2"/>
  <c r="CM19" i="2"/>
  <c r="CK19" i="2"/>
  <c r="CX18" i="2"/>
  <c r="CW18" i="2"/>
  <c r="CV18" i="2"/>
  <c r="CU18" i="2"/>
  <c r="CT18" i="2"/>
  <c r="CS18" i="2"/>
  <c r="CR18" i="2"/>
  <c r="CQ18" i="2"/>
  <c r="CO18" i="2"/>
  <c r="CN18" i="2"/>
  <c r="CM18" i="2"/>
  <c r="CK18" i="2"/>
  <c r="CX17" i="2"/>
  <c r="CW17" i="2"/>
  <c r="CV17" i="2"/>
  <c r="CU17" i="2"/>
  <c r="CT17" i="2"/>
  <c r="CS17" i="2"/>
  <c r="CR17" i="2"/>
  <c r="CQ17" i="2"/>
  <c r="CO17" i="2"/>
  <c r="CN17" i="2"/>
  <c r="CM17" i="2"/>
  <c r="CK17" i="2"/>
  <c r="CX16" i="2"/>
  <c r="CW16" i="2"/>
  <c r="CV16" i="2"/>
  <c r="CU16" i="2"/>
  <c r="CT16" i="2"/>
  <c r="CS16" i="2"/>
  <c r="CR16" i="2"/>
  <c r="CQ16" i="2"/>
  <c r="CO16" i="2"/>
  <c r="CN16" i="2"/>
  <c r="CM16" i="2"/>
  <c r="CK16" i="2"/>
  <c r="CX15" i="2"/>
  <c r="CW15" i="2"/>
  <c r="CV15" i="2"/>
  <c r="CU15" i="2"/>
  <c r="CT15" i="2"/>
  <c r="CS15" i="2"/>
  <c r="CR15" i="2"/>
  <c r="CQ15" i="2"/>
  <c r="CO15" i="2"/>
  <c r="CN15" i="2"/>
  <c r="CM15" i="2"/>
  <c r="CK15" i="2"/>
  <c r="CX14" i="2"/>
  <c r="CW14" i="2"/>
  <c r="CV14" i="2"/>
  <c r="CU14" i="2"/>
  <c r="CT14" i="2"/>
  <c r="CS14" i="2"/>
  <c r="CR14" i="2"/>
  <c r="CQ14" i="2"/>
  <c r="CO14" i="2"/>
  <c r="CN14" i="2"/>
  <c r="CM14" i="2"/>
  <c r="CK14" i="2"/>
  <c r="CX13" i="2"/>
  <c r="CW13" i="2"/>
  <c r="CV13" i="2"/>
  <c r="CU13" i="2"/>
  <c r="CT13" i="2"/>
  <c r="CS13" i="2"/>
  <c r="CR13" i="2"/>
  <c r="CQ13" i="2"/>
  <c r="CO13" i="2"/>
  <c r="CN13" i="2"/>
  <c r="CM13" i="2"/>
  <c r="CK13" i="2"/>
  <c r="CX12" i="2"/>
  <c r="CW12" i="2"/>
  <c r="CV12" i="2"/>
  <c r="CU12" i="2"/>
  <c r="CT12" i="2"/>
  <c r="CS12" i="2"/>
  <c r="CR12" i="2"/>
  <c r="CQ12" i="2"/>
  <c r="CO12" i="2"/>
  <c r="CN12" i="2"/>
  <c r="CM12" i="2"/>
  <c r="CK12" i="2"/>
  <c r="CX11" i="2"/>
  <c r="CW11" i="2"/>
  <c r="CV11" i="2"/>
  <c r="CU11" i="2"/>
  <c r="CT11" i="2"/>
  <c r="CS11" i="2"/>
  <c r="CR11" i="2"/>
  <c r="CQ11" i="2"/>
  <c r="CO11" i="2"/>
  <c r="CN11" i="2"/>
  <c r="CM11" i="2"/>
  <c r="CK11" i="2"/>
  <c r="CX10" i="2"/>
  <c r="CW10" i="2"/>
  <c r="CV10" i="2"/>
  <c r="CU10" i="2"/>
  <c r="CT10" i="2"/>
  <c r="CS10" i="2"/>
  <c r="CR10" i="2"/>
  <c r="CQ10" i="2"/>
  <c r="CO10" i="2"/>
  <c r="CN10" i="2"/>
  <c r="CM10" i="2"/>
  <c r="CK10" i="2"/>
  <c r="CX9" i="2"/>
  <c r="CW9" i="2"/>
  <c r="CV9" i="2"/>
  <c r="CU9" i="2"/>
  <c r="CT9" i="2"/>
  <c r="CS9" i="2"/>
  <c r="CR9" i="2"/>
  <c r="CQ9" i="2"/>
  <c r="CO9" i="2"/>
  <c r="CN9" i="2"/>
  <c r="CM9" i="2"/>
  <c r="CK9" i="2"/>
  <c r="DN8" i="2"/>
  <c r="DN9" i="2" s="1"/>
  <c r="DN10" i="2" s="1"/>
  <c r="DN11" i="2" s="1"/>
  <c r="DN12" i="2" s="1"/>
  <c r="DN13" i="2" s="1"/>
  <c r="DN14" i="2" s="1"/>
  <c r="DN15" i="2" s="1"/>
  <c r="DN16" i="2" s="1"/>
  <c r="DN17" i="2" s="1"/>
  <c r="DN18" i="2" s="1"/>
  <c r="DN19" i="2" s="1"/>
  <c r="DN20" i="2" s="1"/>
  <c r="DN21" i="2" s="1"/>
  <c r="DN22" i="2" s="1"/>
  <c r="DN23" i="2" s="1"/>
  <c r="DN24" i="2" s="1"/>
  <c r="DN25" i="2" s="1"/>
  <c r="DN26" i="2" s="1"/>
  <c r="DN27" i="2" s="1"/>
  <c r="DN28" i="2" s="1"/>
  <c r="DN29" i="2" s="1"/>
  <c r="DN30" i="2" s="1"/>
  <c r="DN31" i="2" s="1"/>
  <c r="DN32" i="2" s="1"/>
  <c r="DN33" i="2" s="1"/>
  <c r="DN34" i="2" s="1"/>
  <c r="DN35" i="2" s="1"/>
  <c r="DN36" i="2" s="1"/>
  <c r="DN37" i="2" s="1"/>
  <c r="DN38" i="2" s="1"/>
  <c r="DN39" i="2" s="1"/>
  <c r="DN40" i="2" s="1"/>
  <c r="DN41" i="2" s="1"/>
  <c r="DN42" i="2" s="1"/>
  <c r="DN43" i="2" s="1"/>
  <c r="DM8" i="2"/>
  <c r="DM9" i="2" s="1"/>
  <c r="DM10" i="2" s="1"/>
  <c r="DM11" i="2" s="1"/>
  <c r="DM12" i="2" s="1"/>
  <c r="DM13" i="2" s="1"/>
  <c r="DM14" i="2" s="1"/>
  <c r="DM15" i="2" s="1"/>
  <c r="DM16" i="2" s="1"/>
  <c r="DM17" i="2" s="1"/>
  <c r="DM18" i="2" s="1"/>
  <c r="DM19" i="2" s="1"/>
  <c r="DM20" i="2" s="1"/>
  <c r="DM21" i="2" s="1"/>
  <c r="DM22" i="2" s="1"/>
  <c r="DM23" i="2" s="1"/>
  <c r="DM24" i="2" s="1"/>
  <c r="DM25" i="2" s="1"/>
  <c r="DM26" i="2" s="1"/>
  <c r="DM27" i="2" s="1"/>
  <c r="DM28" i="2" s="1"/>
  <c r="DM29" i="2" s="1"/>
  <c r="DM30" i="2" s="1"/>
  <c r="DM31" i="2" s="1"/>
  <c r="DM32" i="2" s="1"/>
  <c r="DM33" i="2" s="1"/>
  <c r="DM34" i="2" s="1"/>
  <c r="DM35" i="2" s="1"/>
  <c r="DM36" i="2" s="1"/>
  <c r="DM37" i="2" s="1"/>
  <c r="DM38" i="2" s="1"/>
  <c r="DM39" i="2" s="1"/>
  <c r="DM40" i="2" s="1"/>
  <c r="DM41" i="2" s="1"/>
  <c r="DM42" i="2" s="1"/>
  <c r="DM43" i="2" s="1"/>
  <c r="DL8" i="2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K8" i="2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J8" i="2"/>
  <c r="DJ9" i="2" s="1"/>
  <c r="DJ10" i="2" s="1"/>
  <c r="DJ11" i="2" s="1"/>
  <c r="DJ12" i="2" s="1"/>
  <c r="DJ13" i="2" s="1"/>
  <c r="DJ14" i="2" s="1"/>
  <c r="DJ15" i="2" s="1"/>
  <c r="DJ16" i="2" s="1"/>
  <c r="DI8" i="2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H8" i="2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G8" i="2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CX8" i="2"/>
  <c r="CW8" i="2"/>
  <c r="CV8" i="2"/>
  <c r="CU8" i="2"/>
  <c r="CT8" i="2"/>
  <c r="CS8" i="2"/>
  <c r="CR8" i="2"/>
  <c r="CQ8" i="2"/>
  <c r="CO8" i="2"/>
  <c r="CN8" i="2"/>
  <c r="CM8" i="2"/>
  <c r="CK8" i="2"/>
  <c r="BD3" i="2"/>
  <c r="BA3" i="2"/>
  <c r="AX3" i="2"/>
  <c r="AU3" i="2"/>
  <c r="AR3" i="2"/>
  <c r="AO3" i="2"/>
  <c r="AL3" i="2"/>
  <c r="AI3" i="2"/>
  <c r="AF3" i="2"/>
  <c r="AC3" i="2"/>
  <c r="Z3" i="2"/>
  <c r="W3" i="2"/>
  <c r="T3" i="2"/>
  <c r="Q3" i="2"/>
  <c r="N3" i="2"/>
  <c r="K3" i="2"/>
  <c r="H3" i="2"/>
  <c r="BP1" i="2"/>
  <c r="R20" i="1"/>
  <c r="BD2" i="2" s="1"/>
  <c r="R19" i="1"/>
  <c r="BA2" i="2" s="1"/>
  <c r="R17" i="1"/>
  <c r="R16" i="1"/>
  <c r="AR2" i="2" s="1"/>
  <c r="R15" i="1"/>
  <c r="R14" i="1"/>
  <c r="R13" i="1"/>
  <c r="AI2" i="2" s="1"/>
  <c r="R12" i="1"/>
  <c r="AF2" i="2" s="1"/>
  <c r="R11" i="1"/>
  <c r="R10" i="1"/>
  <c r="R9" i="1"/>
  <c r="R8" i="1"/>
  <c r="T2" i="2" s="1"/>
  <c r="R7" i="1"/>
  <c r="Q2" i="2" s="1"/>
  <c r="R6" i="1"/>
  <c r="R5" i="1"/>
  <c r="K2" i="2" s="1"/>
  <c r="R4" i="1"/>
  <c r="H2" i="2" s="1"/>
  <c r="R3" i="1"/>
  <c r="B44" i="1" l="1"/>
  <c r="D44" i="1"/>
  <c r="C45" i="1"/>
  <c r="D45" i="1"/>
  <c r="C44" i="1"/>
  <c r="B45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B11" i="1"/>
  <c r="B12" i="1"/>
  <c r="B13" i="1"/>
  <c r="B14" i="1"/>
  <c r="B16" i="1"/>
  <c r="B17" i="1"/>
  <c r="B18" i="1"/>
  <c r="B20" i="1"/>
  <c r="B21" i="1"/>
  <c r="CL20" i="2" s="1"/>
  <c r="CF20" i="2" s="1"/>
  <c r="B22" i="1"/>
  <c r="B24" i="1"/>
  <c r="B25" i="1"/>
  <c r="B27" i="1"/>
  <c r="CL26" i="2" s="1"/>
  <c r="CF26" i="2" s="1"/>
  <c r="B28" i="1"/>
  <c r="B29" i="1"/>
  <c r="CL28" i="2" s="1"/>
  <c r="CF28" i="2" s="1"/>
  <c r="B31" i="1"/>
  <c r="CL30" i="2" s="1"/>
  <c r="CF30" i="2" s="1"/>
  <c r="B32" i="1"/>
  <c r="CL31" i="2" s="1"/>
  <c r="CF31" i="2" s="1"/>
  <c r="B34" i="1"/>
  <c r="B35" i="1"/>
  <c r="B36" i="1"/>
  <c r="CL35" i="2" s="1"/>
  <c r="CF35" i="2" s="1"/>
  <c r="B38" i="1"/>
  <c r="B39" i="1"/>
  <c r="CL38" i="2" s="1"/>
  <c r="CF38" i="2" s="1"/>
  <c r="B41" i="1"/>
  <c r="CL40" i="2" s="1"/>
  <c r="CF40" i="2" s="1"/>
  <c r="B42" i="1"/>
  <c r="CL41" i="2" s="1"/>
  <c r="CF41" i="2" s="1"/>
  <c r="B43" i="1"/>
  <c r="C11" i="1"/>
  <c r="C12" i="1"/>
  <c r="C13" i="1"/>
  <c r="C14" i="1"/>
  <c r="C16" i="1"/>
  <c r="C17" i="1"/>
  <c r="C19" i="1"/>
  <c r="C20" i="1"/>
  <c r="C21" i="1"/>
  <c r="C23" i="1"/>
  <c r="C24" i="1"/>
  <c r="C25" i="1"/>
  <c r="C27" i="1"/>
  <c r="C28" i="1"/>
  <c r="C30" i="1"/>
  <c r="C31" i="1"/>
  <c r="C32" i="1"/>
  <c r="C34" i="1"/>
  <c r="C35" i="1"/>
  <c r="C36" i="1"/>
  <c r="C37" i="1"/>
  <c r="B10" i="1"/>
  <c r="B15" i="1"/>
  <c r="B19" i="1"/>
  <c r="B23" i="1"/>
  <c r="B26" i="1"/>
  <c r="B30" i="1"/>
  <c r="B33" i="1"/>
  <c r="B37" i="1"/>
  <c r="CL36" i="2" s="1"/>
  <c r="CF36" i="2" s="1"/>
  <c r="B40" i="1"/>
  <c r="CL39" i="2" s="1"/>
  <c r="CF39" i="2" s="1"/>
  <c r="C10" i="1"/>
  <c r="C15" i="1"/>
  <c r="C18" i="1"/>
  <c r="C22" i="1"/>
  <c r="C26" i="1"/>
  <c r="C29" i="1"/>
  <c r="C33" i="1"/>
  <c r="C38" i="1"/>
  <c r="C39" i="1"/>
  <c r="C41" i="1"/>
  <c r="C43" i="1"/>
  <c r="C42" i="1"/>
  <c r="C40" i="1"/>
  <c r="DB15" i="2"/>
  <c r="DC15" i="2" s="1"/>
  <c r="DD15" i="2" s="1"/>
  <c r="CY27" i="2"/>
  <c r="CZ27" i="2" s="1"/>
  <c r="CY38" i="2"/>
  <c r="CZ38" i="2" s="1"/>
  <c r="DB43" i="2"/>
  <c r="DC43" i="2" s="1"/>
  <c r="DD43" i="2" s="1"/>
  <c r="DB10" i="2"/>
  <c r="DC10" i="2" s="1"/>
  <c r="DD10" i="2" s="1"/>
  <c r="CY11" i="2"/>
  <c r="CZ11" i="2" s="1"/>
  <c r="CY12" i="2"/>
  <c r="CZ12" i="2" s="1"/>
  <c r="DA12" i="2" s="1"/>
  <c r="CY13" i="2"/>
  <c r="CZ13" i="2" s="1"/>
  <c r="CY14" i="2"/>
  <c r="CZ14" i="2" s="1"/>
  <c r="DA14" i="2" s="1"/>
  <c r="CY15" i="2"/>
  <c r="CZ15" i="2" s="1"/>
  <c r="DB16" i="2"/>
  <c r="DC16" i="2" s="1"/>
  <c r="DB17" i="2"/>
  <c r="DC17" i="2" s="1"/>
  <c r="DB18" i="2"/>
  <c r="DC18" i="2" s="1"/>
  <c r="DD18" i="2" s="1"/>
  <c r="DB19" i="2"/>
  <c r="DC19" i="2" s="1"/>
  <c r="CY20" i="2"/>
  <c r="CZ20" i="2" s="1"/>
  <c r="DB21" i="2"/>
  <c r="DC21" i="2" s="1"/>
  <c r="CY22" i="2"/>
  <c r="CZ22" i="2" s="1"/>
  <c r="CY23" i="2"/>
  <c r="CZ23" i="2" s="1"/>
  <c r="DB24" i="2"/>
  <c r="DC24" i="2" s="1"/>
  <c r="DD24" i="2" s="1"/>
  <c r="DB25" i="2"/>
  <c r="DC25" i="2" s="1"/>
  <c r="CY26" i="2"/>
  <c r="CZ26" i="2" s="1"/>
  <c r="DB27" i="2"/>
  <c r="DC27" i="2" s="1"/>
  <c r="CY28" i="2"/>
  <c r="CZ28" i="2" s="1"/>
  <c r="DB29" i="2"/>
  <c r="DC29" i="2" s="1"/>
  <c r="CY30" i="2"/>
  <c r="CZ30" i="2" s="1"/>
  <c r="DB31" i="2"/>
  <c r="DC31" i="2" s="1"/>
  <c r="DB32" i="2"/>
  <c r="DC32" i="2" s="1"/>
  <c r="DD32" i="2" s="1"/>
  <c r="CY33" i="2"/>
  <c r="CZ33" i="2" s="1"/>
  <c r="DB34" i="2"/>
  <c r="DC34" i="2" s="1"/>
  <c r="DD34" i="2" s="1"/>
  <c r="DB35" i="2"/>
  <c r="DC35" i="2" s="1"/>
  <c r="CY36" i="2"/>
  <c r="CZ36" i="2" s="1"/>
  <c r="DB37" i="2"/>
  <c r="DC37" i="2" s="1"/>
  <c r="DB38" i="2"/>
  <c r="DC38" i="2" s="1"/>
  <c r="DD38" i="2" s="1"/>
  <c r="CY39" i="2"/>
  <c r="CZ39" i="2" s="1"/>
  <c r="CY40" i="2"/>
  <c r="CZ40" i="2" s="1"/>
  <c r="DB41" i="2"/>
  <c r="DC41" i="2" s="1"/>
  <c r="CY42" i="2"/>
  <c r="CZ42" i="2" s="1"/>
  <c r="CY43" i="2"/>
  <c r="CZ43" i="2" s="1"/>
  <c r="DA43" i="2" s="1"/>
  <c r="CY16" i="2"/>
  <c r="CZ16" i="2" s="1"/>
  <c r="CY41" i="2"/>
  <c r="CZ41" i="2" s="1"/>
  <c r="DB22" i="2"/>
  <c r="DC22" i="2" s="1"/>
  <c r="DB40" i="2"/>
  <c r="DC40" i="2" s="1"/>
  <c r="CY34" i="2"/>
  <c r="CZ34" i="2" s="1"/>
  <c r="CY29" i="2"/>
  <c r="CZ29" i="2" s="1"/>
  <c r="DB36" i="2"/>
  <c r="DC36" i="2" s="1"/>
  <c r="DB42" i="2"/>
  <c r="DC42" i="2" s="1"/>
  <c r="DB12" i="2"/>
  <c r="DC12" i="2" s="1"/>
  <c r="DB30" i="2"/>
  <c r="DC30" i="2" s="1"/>
  <c r="DB33" i="2"/>
  <c r="DC33" i="2" s="1"/>
  <c r="DD33" i="2" s="1"/>
  <c r="DB28" i="2"/>
  <c r="DC28" i="2" s="1"/>
  <c r="CY37" i="2"/>
  <c r="CZ37" i="2" s="1"/>
  <c r="DA37" i="2" s="1"/>
  <c r="DB39" i="2"/>
  <c r="DC39" i="2" s="1"/>
  <c r="CY24" i="2"/>
  <c r="CZ24" i="2" s="1"/>
  <c r="CY21" i="2"/>
  <c r="CZ21" i="2" s="1"/>
  <c r="CY31" i="2"/>
  <c r="CZ31" i="2" s="1"/>
  <c r="CY32" i="2"/>
  <c r="CZ32" i="2" s="1"/>
  <c r="DB26" i="2"/>
  <c r="DC26" i="2" s="1"/>
  <c r="DD26" i="2" s="1"/>
  <c r="DB23" i="2"/>
  <c r="DC23" i="2" s="1"/>
  <c r="CY25" i="2"/>
  <c r="CZ25" i="2" s="1"/>
  <c r="CY18" i="2"/>
  <c r="CZ18" i="2" s="1"/>
  <c r="CY9" i="2"/>
  <c r="CZ9" i="2" s="1"/>
  <c r="DA9" i="2" s="1"/>
  <c r="DB11" i="2"/>
  <c r="DC11" i="2" s="1"/>
  <c r="DB13" i="2"/>
  <c r="DC13" i="2" s="1"/>
  <c r="DD13" i="2" s="1"/>
  <c r="DB14" i="2"/>
  <c r="DC14" i="2" s="1"/>
  <c r="CY17" i="2"/>
  <c r="CZ17" i="2" s="1"/>
  <c r="DA17" i="2" s="1"/>
  <c r="CY19" i="2"/>
  <c r="CZ19" i="2" s="1"/>
  <c r="DB9" i="2"/>
  <c r="DC9" i="2" s="1"/>
  <c r="DD9" i="2" s="1"/>
  <c r="CY10" i="2"/>
  <c r="CZ10" i="2" s="1"/>
  <c r="DB20" i="2"/>
  <c r="DC20" i="2" s="1"/>
  <c r="DD22" i="2"/>
  <c r="DD40" i="2"/>
  <c r="DD41" i="2"/>
  <c r="AK44" i="2"/>
  <c r="DD31" i="2"/>
  <c r="AZ44" i="2"/>
  <c r="AK45" i="2"/>
  <c r="AE46" i="2"/>
  <c r="DD23" i="2"/>
  <c r="AK46" i="2"/>
  <c r="DD42" i="2"/>
  <c r="DA13" i="2"/>
  <c r="AW44" i="2"/>
  <c r="DD28" i="2"/>
  <c r="DD12" i="2"/>
  <c r="AW46" i="2"/>
  <c r="DD37" i="2"/>
  <c r="DK38" i="2"/>
  <c r="DK39" i="2" s="1"/>
  <c r="DK40" i="2" s="1"/>
  <c r="DK41" i="2" s="1"/>
  <c r="DK42" i="2" s="1"/>
  <c r="DK43" i="2" s="1"/>
  <c r="AQ44" i="2"/>
  <c r="DD11" i="2"/>
  <c r="S45" i="2"/>
  <c r="AH45" i="2"/>
  <c r="AT46" i="2"/>
  <c r="AZ46" i="2"/>
  <c r="CL8" i="2"/>
  <c r="CF8" i="2" s="1"/>
  <c r="AU2" i="2"/>
  <c r="AO2" i="2"/>
  <c r="N2" i="2"/>
  <c r="W2" i="2"/>
  <c r="AL2" i="2"/>
  <c r="Z2" i="2"/>
  <c r="BE45" i="2"/>
  <c r="BE44" i="2"/>
  <c r="BE46" i="2"/>
  <c r="BC46" i="2"/>
  <c r="BC45" i="2"/>
  <c r="BC44" i="2"/>
  <c r="AZ45" i="2"/>
  <c r="AW45" i="2"/>
  <c r="AT44" i="2"/>
  <c r="AT45" i="2"/>
  <c r="AN44" i="2"/>
  <c r="AE44" i="2"/>
  <c r="AB44" i="2"/>
  <c r="S46" i="2"/>
  <c r="P46" i="2"/>
  <c r="J44" i="2"/>
  <c r="M45" i="2"/>
  <c r="P44" i="2"/>
  <c r="P45" i="2"/>
  <c r="AQ45" i="2"/>
  <c r="AQ46" i="2"/>
  <c r="AN46" i="2"/>
  <c r="AN45" i="2"/>
  <c r="AH44" i="2"/>
  <c r="AH46" i="2"/>
  <c r="AE45" i="2"/>
  <c r="AB46" i="2"/>
  <c r="AB45" i="2"/>
  <c r="Y46" i="2"/>
  <c r="Y45" i="2"/>
  <c r="Y44" i="2"/>
  <c r="V44" i="2"/>
  <c r="V45" i="2"/>
  <c r="V46" i="2"/>
  <c r="S44" i="2"/>
  <c r="M44" i="2"/>
  <c r="M46" i="2"/>
  <c r="J45" i="2"/>
  <c r="J46" i="2"/>
  <c r="DA15" i="2"/>
  <c r="DI27" i="2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J17" i="2"/>
  <c r="DJ18" i="2" s="1"/>
  <c r="DJ19" i="2" s="1"/>
  <c r="DD16" i="2"/>
  <c r="DH19" i="2"/>
  <c r="DH20" i="2" s="1"/>
  <c r="DH21" i="2" s="1"/>
  <c r="DH22" i="2" s="1"/>
  <c r="DH23" i="2" s="1"/>
  <c r="DA18" i="2"/>
  <c r="DD25" i="2"/>
  <c r="DA16" i="2"/>
  <c r="AX2" i="2"/>
  <c r="DA11" i="2"/>
  <c r="DD14" i="2"/>
  <c r="DD17" i="2"/>
  <c r="AC2" i="2"/>
  <c r="DB8" i="2"/>
  <c r="DC8" i="2" s="1"/>
  <c r="DD8" i="2" s="1"/>
  <c r="CY8" i="2"/>
  <c r="CZ8" i="2" s="1"/>
  <c r="DA8" i="2" s="1"/>
  <c r="DD27" i="2"/>
  <c r="DA10" i="2"/>
  <c r="CL27" i="2" l="1"/>
  <c r="CF27" i="2" s="1"/>
  <c r="CL17" i="2"/>
  <c r="CF17" i="2" s="1"/>
  <c r="DA22" i="2"/>
  <c r="BG22" i="2" s="1"/>
  <c r="CL32" i="2"/>
  <c r="CF32" i="2" s="1"/>
  <c r="CL34" i="2"/>
  <c r="CF34" i="2" s="1"/>
  <c r="CL16" i="2"/>
  <c r="CF16" i="2" s="1"/>
  <c r="CL33" i="2"/>
  <c r="CF33" i="2" s="1"/>
  <c r="CL12" i="2"/>
  <c r="CF12" i="2" s="1"/>
  <c r="BG8" i="2"/>
  <c r="BG12" i="2"/>
  <c r="DA19" i="2"/>
  <c r="DA21" i="2"/>
  <c r="CL43" i="2"/>
  <c r="CF43" i="2" s="1"/>
  <c r="CL42" i="2"/>
  <c r="CF42" i="2" s="1"/>
  <c r="CL18" i="2"/>
  <c r="CF18" i="2" s="1"/>
  <c r="CL19" i="2"/>
  <c r="CF19" i="2" s="1"/>
  <c r="CL13" i="2"/>
  <c r="CF13" i="2" s="1"/>
  <c r="BG13" i="2"/>
  <c r="BG18" i="2"/>
  <c r="BG43" i="2"/>
  <c r="BG11" i="2"/>
  <c r="CL29" i="2"/>
  <c r="CF29" i="2" s="1"/>
  <c r="CL25" i="2"/>
  <c r="CF25" i="2" s="1"/>
  <c r="CL24" i="2"/>
  <c r="CF24" i="2" s="1"/>
  <c r="BG16" i="2"/>
  <c r="CL11" i="2"/>
  <c r="CF11" i="2" s="1"/>
  <c r="BG37" i="2"/>
  <c r="CL37" i="2"/>
  <c r="CF37" i="2" s="1"/>
  <c r="CL21" i="2"/>
  <c r="CF21" i="2" s="1"/>
  <c r="CL22" i="2"/>
  <c r="CF22" i="2" s="1"/>
  <c r="BG10" i="2"/>
  <c r="CL23" i="2"/>
  <c r="CF23" i="2" s="1"/>
  <c r="CL9" i="2"/>
  <c r="CF9" i="2" s="1"/>
  <c r="BG9" i="2"/>
  <c r="CL10" i="2"/>
  <c r="CF10" i="2" s="1"/>
  <c r="BF46" i="2"/>
  <c r="BF45" i="2"/>
  <c r="BF44" i="2"/>
  <c r="DJ20" i="2"/>
  <c r="DD19" i="2"/>
  <c r="BG17" i="2"/>
  <c r="DA20" i="2"/>
  <c r="CL14" i="2"/>
  <c r="CF14" i="2" s="1"/>
  <c r="BG14" i="2"/>
  <c r="DH24" i="2"/>
  <c r="DA23" i="2"/>
  <c r="BG23" i="2" s="1"/>
  <c r="BG15" i="2"/>
  <c r="CL15" i="2"/>
  <c r="CF15" i="2" s="1"/>
  <c r="BG19" i="2" l="1"/>
  <c r="DH25" i="2"/>
  <c r="DA24" i="2"/>
  <c r="BG24" i="2" s="1"/>
  <c r="DJ21" i="2"/>
  <c r="DD20" i="2"/>
  <c r="BG20" i="2" s="1"/>
  <c r="DJ22" i="2" l="1"/>
  <c r="DJ23" i="2" s="1"/>
  <c r="DJ24" i="2" s="1"/>
  <c r="DJ25" i="2" s="1"/>
  <c r="DJ26" i="2" s="1"/>
  <c r="DJ27" i="2" s="1"/>
  <c r="DJ28" i="2" s="1"/>
  <c r="DJ29" i="2" s="1"/>
  <c r="DD21" i="2"/>
  <c r="BG21" i="2" s="1"/>
  <c r="DH26" i="2"/>
  <c r="DA25" i="2"/>
  <c r="BG25" i="2" s="1"/>
  <c r="DH27" i="2" l="1"/>
  <c r="DA26" i="2"/>
  <c r="BG26" i="2" s="1"/>
  <c r="DJ30" i="2"/>
  <c r="DD29" i="2"/>
  <c r="DJ31" i="2" l="1"/>
  <c r="DJ32" i="2" s="1"/>
  <c r="DJ33" i="2" s="1"/>
  <c r="DJ34" i="2" s="1"/>
  <c r="DJ35" i="2" s="1"/>
  <c r="DD30" i="2"/>
  <c r="DH28" i="2"/>
  <c r="DA27" i="2"/>
  <c r="BG27" i="2" s="1"/>
  <c r="DH29" i="2" l="1"/>
  <c r="DA28" i="2"/>
  <c r="BG28" i="2" s="1"/>
  <c r="DJ36" i="2"/>
  <c r="DD35" i="2"/>
  <c r="DJ37" i="2" l="1"/>
  <c r="DJ38" i="2" s="1"/>
  <c r="DJ39" i="2" s="1"/>
  <c r="DD36" i="2"/>
  <c r="DH30" i="2"/>
  <c r="DA29" i="2"/>
  <c r="BG29" i="2" s="1"/>
  <c r="DH31" i="2" l="1"/>
  <c r="DA30" i="2"/>
  <c r="BG30" i="2" s="1"/>
  <c r="DJ40" i="2"/>
  <c r="DJ41" i="2" s="1"/>
  <c r="DJ42" i="2" s="1"/>
  <c r="DJ43" i="2" s="1"/>
  <c r="DD39" i="2"/>
  <c r="DH32" i="2" l="1"/>
  <c r="DA31" i="2"/>
  <c r="BG31" i="2" s="1"/>
  <c r="DH33" i="2" l="1"/>
  <c r="DA32" i="2"/>
  <c r="BG32" i="2" s="1"/>
  <c r="DH34" i="2" l="1"/>
  <c r="DA33" i="2"/>
  <c r="BG33" i="2" s="1"/>
  <c r="DH35" i="2" l="1"/>
  <c r="DA34" i="2"/>
  <c r="BG34" i="2" s="1"/>
  <c r="DH36" i="2" l="1"/>
  <c r="DA35" i="2"/>
  <c r="BG35" i="2" s="1"/>
  <c r="DH37" i="2" l="1"/>
  <c r="DH38" i="2" s="1"/>
  <c r="DA36" i="2"/>
  <c r="BG36" i="2" s="1"/>
  <c r="DH39" i="2" l="1"/>
  <c r="DA38" i="2"/>
  <c r="BG38" i="2" s="1"/>
  <c r="DH40" i="2" l="1"/>
  <c r="DA39" i="2"/>
  <c r="BG39" i="2" s="1"/>
  <c r="DH41" i="2" l="1"/>
  <c r="DA40" i="2"/>
  <c r="BG40" i="2" s="1"/>
  <c r="DH42" i="2" l="1"/>
  <c r="DA41" i="2"/>
  <c r="BG41" i="2" s="1"/>
  <c r="DH43" i="2" l="1"/>
  <c r="DA42" i="2"/>
  <c r="BG42" i="2" s="1"/>
</calcChain>
</file>

<file path=xl/sharedStrings.xml><?xml version="1.0" encoding="utf-8"?>
<sst xmlns="http://schemas.openxmlformats.org/spreadsheetml/2006/main" count="4108" uniqueCount="3157">
  <si>
    <t>Utama</t>
  </si>
  <si>
    <t>X TBSM</t>
  </si>
  <si>
    <t>X RPL</t>
  </si>
  <si>
    <t>X PKM</t>
  </si>
  <si>
    <t>XI TBSM</t>
  </si>
  <si>
    <t>XI RPL</t>
  </si>
  <si>
    <t>XI PKM</t>
  </si>
  <si>
    <t>XII TBSM</t>
  </si>
  <si>
    <t>XII RPL</t>
  </si>
  <si>
    <t>XII PKM</t>
  </si>
  <si>
    <t xml:space="preserve"> </t>
  </si>
  <si>
    <t>A. Muatan Nasional</t>
  </si>
  <si>
    <t>A</t>
  </si>
  <si>
    <t>Pendidikan Agama dan Budi Pekerti</t>
  </si>
  <si>
    <t>Pendidikan Pancasila dan Kewarganegaraan</t>
  </si>
  <si>
    <t xml:space="preserve"> Bahasa Indonesia</t>
  </si>
  <si>
    <t>Bahasa Indonesia</t>
  </si>
  <si>
    <t>Matematika</t>
  </si>
  <si>
    <t xml:space="preserve"> Sejarah Indonesia</t>
  </si>
  <si>
    <t xml:space="preserve"> Bahasa Inggris</t>
  </si>
  <si>
    <t>B. Muatan Kewilayahan</t>
  </si>
  <si>
    <t>B</t>
  </si>
  <si>
    <t>Pendidikan Jasmani, Olahraga, dan Kesehatan</t>
  </si>
  <si>
    <t xml:space="preserve"> Seni Budaya</t>
  </si>
  <si>
    <t>Mulok</t>
  </si>
  <si>
    <t>M</t>
  </si>
  <si>
    <t xml:space="preserve"> Bahasa Jawa</t>
  </si>
  <si>
    <t>Bahasa Jawa</t>
  </si>
  <si>
    <t>C. Muatan Peminatan Kejuruan</t>
  </si>
  <si>
    <t>C1</t>
  </si>
  <si>
    <t xml:space="preserve"> Simulasi dan Komunikasi Digital</t>
  </si>
  <si>
    <t>C3</t>
  </si>
  <si>
    <t>Pemeliharaan Mesin Sepeda Motor</t>
  </si>
  <si>
    <t>Pemodelan Perangkat Lunak</t>
  </si>
  <si>
    <t>Pengelolaan Kas</t>
  </si>
  <si>
    <t xml:space="preserve"> Basis Data</t>
  </si>
  <si>
    <t>Layanan Lembaga Perbankan dan Keuangan Mikro</t>
  </si>
  <si>
    <t xml:space="preserve"> Fisika</t>
  </si>
  <si>
    <t xml:space="preserve"> Ekonomi Bisnis</t>
  </si>
  <si>
    <t>Pemeliharaan Sasis Sepeda Motor</t>
  </si>
  <si>
    <t>Basis Data</t>
  </si>
  <si>
    <t>Pemrograman Berorientasi Objek</t>
  </si>
  <si>
    <t>Akuntansi Perbankan dan Keuangan Mikro</t>
  </si>
  <si>
    <t xml:space="preserve"> Kimia</t>
  </si>
  <si>
    <t>Administrasi Umum</t>
  </si>
  <si>
    <t>Pemeliharaan Kelistrikan Sepeda Motor</t>
  </si>
  <si>
    <t>Pemrograman Web dan Perangkat Bergerak</t>
  </si>
  <si>
    <t>Komputer Akuntansi</t>
  </si>
  <si>
    <t xml:space="preserve"> IPA</t>
  </si>
  <si>
    <t>Produk Kreatif dan Kewirausahaan</t>
  </si>
  <si>
    <t>Pengelolaan Bengkel Sepeda Motor</t>
  </si>
  <si>
    <t>Administrasi Pajak</t>
  </si>
  <si>
    <t>C2</t>
  </si>
  <si>
    <t xml:space="preserve"> Gambar Teknik Otomotif</t>
  </si>
  <si>
    <t xml:space="preserve"> Sistem Komputer</t>
  </si>
  <si>
    <t xml:space="preserve"> Etika Profesi</t>
  </si>
  <si>
    <t xml:space="preserve"> Produk Kreatif dan Kewirausahaan</t>
  </si>
  <si>
    <t>Teknologi Dasar Otomotif</t>
  </si>
  <si>
    <t>Komputer dan Jaringan Dasar</t>
  </si>
  <si>
    <t xml:space="preserve"> Aplikasi Pengolah Angka/Spreadsheet</t>
  </si>
  <si>
    <t>Pekerjaan Dasar Teknik Otomotif</t>
  </si>
  <si>
    <t>Pemrograman Dasar</t>
  </si>
  <si>
    <t>Akuntansi Dasar</t>
  </si>
  <si>
    <t xml:space="preserve"> Dasar Desain Grafis</t>
  </si>
  <si>
    <t>Perbankan Dasar</t>
  </si>
  <si>
    <t>C</t>
  </si>
  <si>
    <t>D</t>
  </si>
  <si>
    <t>X PKM 1</t>
  </si>
  <si>
    <t>Predikat Capaian Kompetensi</t>
  </si>
  <si>
    <t>X PKM 2</t>
  </si>
  <si>
    <t>X PKM 3</t>
  </si>
  <si>
    <t>A+</t>
  </si>
  <si>
    <t>:</t>
  </si>
  <si>
    <t>-</t>
  </si>
  <si>
    <t>X PKM 4</t>
  </si>
  <si>
    <t>X RPL 1</t>
  </si>
  <si>
    <t>A-</t>
  </si>
  <si>
    <t>X RPL 2</t>
  </si>
  <si>
    <t>B+</t>
  </si>
  <si>
    <t>X RPL 3</t>
  </si>
  <si>
    <t>X TBSM 1</t>
  </si>
  <si>
    <t>B-</t>
  </si>
  <si>
    <t>X TBSM 2</t>
  </si>
  <si>
    <t>XI PKM 1</t>
  </si>
  <si>
    <t>&lt;</t>
  </si>
  <si>
    <t>XI PKM 2</t>
  </si>
  <si>
    <t>XI PKM 3</t>
  </si>
  <si>
    <t>XI PKM 4</t>
  </si>
  <si>
    <t>XI RPL 1</t>
  </si>
  <si>
    <t>XI RPL 2</t>
  </si>
  <si>
    <t>XI RPL 3</t>
  </si>
  <si>
    <t>XI TBSM 1</t>
  </si>
  <si>
    <t>XI TBSM 2</t>
  </si>
  <si>
    <t>XII PKM 1</t>
  </si>
  <si>
    <t>XII PKM 2</t>
  </si>
  <si>
    <t>XII PKM 3</t>
  </si>
  <si>
    <t>XII PKM 4</t>
  </si>
  <si>
    <t>XII RPL 1</t>
  </si>
  <si>
    <t>XII RPL 2</t>
  </si>
  <si>
    <t>XII RPL 3</t>
  </si>
  <si>
    <t>XII TBSM 1</t>
  </si>
  <si>
    <t>XII TBSM 2</t>
  </si>
  <si>
    <t>X TSM 1</t>
  </si>
  <si>
    <t>X TSM 2</t>
  </si>
  <si>
    <t>X PBK 1</t>
  </si>
  <si>
    <t>X PBK 2</t>
  </si>
  <si>
    <t>X PBK 3</t>
  </si>
  <si>
    <t>X PBK 4</t>
  </si>
  <si>
    <t>XI TSM 1</t>
  </si>
  <si>
    <t>XI TSM 2</t>
  </si>
  <si>
    <t>XI PBK 1</t>
  </si>
  <si>
    <t>XI PBK 2</t>
  </si>
  <si>
    <t>XI PBK 3</t>
  </si>
  <si>
    <t>XI PBK 4</t>
  </si>
  <si>
    <t>XII TSM 1</t>
  </si>
  <si>
    <t>XII TSM 2</t>
  </si>
  <si>
    <t>XII PBK 1</t>
  </si>
  <si>
    <t>XII PBK 2</t>
  </si>
  <si>
    <t>XII PBK 3</t>
  </si>
  <si>
    <t>XII PBK 4</t>
  </si>
  <si>
    <t>0073802211</t>
  </si>
  <si>
    <t>2666</t>
  </si>
  <si>
    <t>Alfian Adhi Putra</t>
  </si>
  <si>
    <t>0071400811</t>
  </si>
  <si>
    <t>2702</t>
  </si>
  <si>
    <t>Ajeng Dinasti Seviana</t>
  </si>
  <si>
    <t>0062178691</t>
  </si>
  <si>
    <t>2738</t>
  </si>
  <si>
    <t>Afifa Yulia Afra</t>
  </si>
  <si>
    <t>0076173902</t>
  </si>
  <si>
    <t>2774</t>
  </si>
  <si>
    <t>Amar Setyo Aji</t>
  </si>
  <si>
    <t>0062210124</t>
  </si>
  <si>
    <t>2810</t>
  </si>
  <si>
    <t>Adi Santuso</t>
  </si>
  <si>
    <t>0062405295</t>
  </si>
  <si>
    <t>2846</t>
  </si>
  <si>
    <t>Agnes Monika</t>
  </si>
  <si>
    <t>0139964658</t>
  </si>
  <si>
    <t>2882</t>
  </si>
  <si>
    <t>Adellia Putri</t>
  </si>
  <si>
    <t>0077392972</t>
  </si>
  <si>
    <t>2918</t>
  </si>
  <si>
    <t>Adielista Cantika Putri Damayanti</t>
  </si>
  <si>
    <t>0077135371</t>
  </si>
  <si>
    <t>2954</t>
  </si>
  <si>
    <t>Abel Anjarwani</t>
  </si>
  <si>
    <t>0069286760</t>
  </si>
  <si>
    <t>2342</t>
  </si>
  <si>
    <t>Abdul Azis Aprilianto</t>
  </si>
  <si>
    <t>0058679966</t>
  </si>
  <si>
    <t>2378</t>
  </si>
  <si>
    <t>Abimanyu Fatur Rohman Ramadhani</t>
  </si>
  <si>
    <t>0066945465</t>
  </si>
  <si>
    <t>2414</t>
  </si>
  <si>
    <t>Achmad Choirudin</t>
  </si>
  <si>
    <t>0056857601</t>
  </si>
  <si>
    <t>2450</t>
  </si>
  <si>
    <t>Adit Prastyono</t>
  </si>
  <si>
    <t>0067272710</t>
  </si>
  <si>
    <t>2486</t>
  </si>
  <si>
    <t>Aditya Kurniawan</t>
  </si>
  <si>
    <t>0069821360</t>
  </si>
  <si>
    <t>2522</t>
  </si>
  <si>
    <t>Adellia Nassaul Maharani</t>
  </si>
  <si>
    <t>0063801266</t>
  </si>
  <si>
    <t>2558</t>
  </si>
  <si>
    <t>Adinda Tri Astuti</t>
  </si>
  <si>
    <t>0069730955</t>
  </si>
  <si>
    <t>2594</t>
  </si>
  <si>
    <t>Afriza Rayya Syahrifatussholikhah</t>
  </si>
  <si>
    <t>0068290624</t>
  </si>
  <si>
    <t>2630</t>
  </si>
  <si>
    <t>Agatha Bintang Arsi Saputri</t>
  </si>
  <si>
    <t>0058492751</t>
  </si>
  <si>
    <t>2017</t>
  </si>
  <si>
    <t>Achmad Nur Alfi Hidayat</t>
  </si>
  <si>
    <t>0053479802</t>
  </si>
  <si>
    <t>2053</t>
  </si>
  <si>
    <t>Abraham Artha Mahendra</t>
  </si>
  <si>
    <t>0059109846</t>
  </si>
  <si>
    <t>2089</t>
  </si>
  <si>
    <t>Adelia Ananta</t>
  </si>
  <si>
    <t>0042932828</t>
  </si>
  <si>
    <t>2125</t>
  </si>
  <si>
    <t>Agita Ika Lestari</t>
  </si>
  <si>
    <t>0046896355</t>
  </si>
  <si>
    <t>2161</t>
  </si>
  <si>
    <t>Agus Salim</t>
  </si>
  <si>
    <t>0054392558</t>
  </si>
  <si>
    <t>2197</t>
  </si>
  <si>
    <t>Amin Amiati</t>
  </si>
  <si>
    <t>0053771866</t>
  </si>
  <si>
    <t>2233</t>
  </si>
  <si>
    <t>Ananda Shinta Utami</t>
  </si>
  <si>
    <t>0053575304</t>
  </si>
  <si>
    <t>2269</t>
  </si>
  <si>
    <t>Angga Sheva Maulana</t>
  </si>
  <si>
    <t>0053578037</t>
  </si>
  <si>
    <t>2305</t>
  </si>
  <si>
    <t>Aiskha Latasya Salsabila</t>
  </si>
  <si>
    <t>0073004104</t>
  </si>
  <si>
    <t>2667</t>
  </si>
  <si>
    <t>Andika Setyawan Vebrianto</t>
  </si>
  <si>
    <t>0078527452</t>
  </si>
  <si>
    <t>2703</t>
  </si>
  <si>
    <t>Albion Bybel Raihan Nayakazaki</t>
  </si>
  <si>
    <t>0065297307</t>
  </si>
  <si>
    <t>2739</t>
  </si>
  <si>
    <t>Arnisa Nindita Rahmadani</t>
  </si>
  <si>
    <t>0064560650</t>
  </si>
  <si>
    <t>2775</t>
  </si>
  <si>
    <t>Ardiyan Nur Zahara</t>
  </si>
  <si>
    <t>0073918288</t>
  </si>
  <si>
    <t>2811</t>
  </si>
  <si>
    <t>Afila Ajeng Mayasaputri</t>
  </si>
  <si>
    <t>0076297797</t>
  </si>
  <si>
    <t>2847</t>
  </si>
  <si>
    <t>Aila Septi Rahma Widtari</t>
  </si>
  <si>
    <t>0076036916</t>
  </si>
  <si>
    <t>2883</t>
  </si>
  <si>
    <t>Alia Putri Rahayu</t>
  </si>
  <si>
    <t>0081680925</t>
  </si>
  <si>
    <t>2919</t>
  </si>
  <si>
    <t>Agnesya Revitasari</t>
  </si>
  <si>
    <t>0076670189</t>
  </si>
  <si>
    <t>2955</t>
  </si>
  <si>
    <t>Aldanur Salsala</t>
  </si>
  <si>
    <t>0053688540</t>
  </si>
  <si>
    <t>2343</t>
  </si>
  <si>
    <t>Adi Pratama</t>
  </si>
  <si>
    <t>0046896363</t>
  </si>
  <si>
    <t>2379</t>
  </si>
  <si>
    <t>Adi Nugroho</t>
  </si>
  <si>
    <t>0053743791</t>
  </si>
  <si>
    <t>2415</t>
  </si>
  <si>
    <t>Agus Denis Nugroho</t>
  </si>
  <si>
    <t>0057894818</t>
  </si>
  <si>
    <t>2451</t>
  </si>
  <si>
    <t>Agus Wahyudi</t>
  </si>
  <si>
    <t>0056965649</t>
  </si>
  <si>
    <t>2487</t>
  </si>
  <si>
    <t>Ahmad Zainal Arifuddin</t>
  </si>
  <si>
    <t>0064785121</t>
  </si>
  <si>
    <t>2523</t>
  </si>
  <si>
    <t>Agnestya Putri Marthatilova</t>
  </si>
  <si>
    <t>0067007485</t>
  </si>
  <si>
    <t>2559</t>
  </si>
  <si>
    <t>Ailsha Cahya Aulia</t>
  </si>
  <si>
    <t>0054012150</t>
  </si>
  <si>
    <t>2595</t>
  </si>
  <si>
    <t>Aininda Rahmania</t>
  </si>
  <si>
    <t>0067119728</t>
  </si>
  <si>
    <t>2631</t>
  </si>
  <si>
    <t>Airin Septiana Rahmadhani</t>
  </si>
  <si>
    <t>0046898371</t>
  </si>
  <si>
    <t>2018</t>
  </si>
  <si>
    <t>Adelleon Minnar Pradana</t>
  </si>
  <si>
    <t>0053819576</t>
  </si>
  <si>
    <t>2054</t>
  </si>
  <si>
    <t>Ahmad Fauzi</t>
  </si>
  <si>
    <t>0053578031</t>
  </si>
  <si>
    <t>2090</t>
  </si>
  <si>
    <t>Adhitya Ega Pratama</t>
  </si>
  <si>
    <t>0054581581</t>
  </si>
  <si>
    <t>2126</t>
  </si>
  <si>
    <t>Anggita Tiyana</t>
  </si>
  <si>
    <t>0053236393</t>
  </si>
  <si>
    <t>2162</t>
  </si>
  <si>
    <t>Ahmad Rafly Wijaya</t>
  </si>
  <si>
    <t>0051803272</t>
  </si>
  <si>
    <t>2198</t>
  </si>
  <si>
    <t>Anisa Cahyani Putri</t>
  </si>
  <si>
    <t>0028916334</t>
  </si>
  <si>
    <t>2234</t>
  </si>
  <si>
    <t>Anik Triani</t>
  </si>
  <si>
    <t>0054496442</t>
  </si>
  <si>
    <t>2270</t>
  </si>
  <si>
    <t>Anindya Salsabila Setiawan</t>
  </si>
  <si>
    <t>0059367463</t>
  </si>
  <si>
    <t>2306</t>
  </si>
  <si>
    <t>Amanda Depina</t>
  </si>
  <si>
    <t>0079372004</t>
  </si>
  <si>
    <t>2668</t>
  </si>
  <si>
    <t>Andrea Arya Pratama</t>
  </si>
  <si>
    <t>0077642636</t>
  </si>
  <si>
    <t>2704</t>
  </si>
  <si>
    <t>Andhine Rara Anggraine</t>
  </si>
  <si>
    <t>0064170012</t>
  </si>
  <si>
    <t>2740</t>
  </si>
  <si>
    <t>Astri Sorya Ningsih</t>
  </si>
  <si>
    <t>0069201648</t>
  </si>
  <si>
    <t>2776</t>
  </si>
  <si>
    <t>Aulia Putri Maharani</t>
  </si>
  <si>
    <t>0075787113</t>
  </si>
  <si>
    <t>2812</t>
  </si>
  <si>
    <t>Albert Restu Ayanda</t>
  </si>
  <si>
    <t>0066448196</t>
  </si>
  <si>
    <t>2848</t>
  </si>
  <si>
    <t>Aisa Desiana</t>
  </si>
  <si>
    <t>0062903190</t>
  </si>
  <si>
    <t>2884</t>
  </si>
  <si>
    <t>Alifia Nariswi Rahma Desti</t>
  </si>
  <si>
    <t>0075656110</t>
  </si>
  <si>
    <t>2920</t>
  </si>
  <si>
    <t>Alisa</t>
  </si>
  <si>
    <t>0078851527</t>
  </si>
  <si>
    <t>2956</t>
  </si>
  <si>
    <t>Anin Oktavia</t>
  </si>
  <si>
    <t>0061147835</t>
  </si>
  <si>
    <t>2344</t>
  </si>
  <si>
    <t>Alfian Ferdi Ferdika</t>
  </si>
  <si>
    <t>0068974487</t>
  </si>
  <si>
    <t>2380</t>
  </si>
  <si>
    <t>Aji Afrizal Pramudia</t>
  </si>
  <si>
    <t>0051911490</t>
  </si>
  <si>
    <t>2416</t>
  </si>
  <si>
    <t>Ain Nur Agung Pratama</t>
  </si>
  <si>
    <t>0069005036</t>
  </si>
  <si>
    <t>2452</t>
  </si>
  <si>
    <t>Aldira Renata</t>
  </si>
  <si>
    <t>0068457717</t>
  </si>
  <si>
    <t>2488</t>
  </si>
  <si>
    <t>Alma Firda Fathiana</t>
  </si>
  <si>
    <t>0066099733</t>
  </si>
  <si>
    <t>2524</t>
  </si>
  <si>
    <t>Aisa Mareta Adityas</t>
  </si>
  <si>
    <t>0052077395</t>
  </si>
  <si>
    <t>2560</t>
  </si>
  <si>
    <t>Aisyah Nur Indahsari</t>
  </si>
  <si>
    <t>0053878242</t>
  </si>
  <si>
    <t>2596</t>
  </si>
  <si>
    <t>Aldila Putri Kaesa</t>
  </si>
  <si>
    <t>0025329262</t>
  </si>
  <si>
    <t>2632</t>
  </si>
  <si>
    <t>Amanda Sinta</t>
  </si>
  <si>
    <t>0044990014</t>
  </si>
  <si>
    <t>2019</t>
  </si>
  <si>
    <t>Aditya Eka Ramadhani</t>
  </si>
  <si>
    <t>0046898309</t>
  </si>
  <si>
    <t>2055</t>
  </si>
  <si>
    <t>Al Fahri Ajimas Syahid</t>
  </si>
  <si>
    <t>0053490115</t>
  </si>
  <si>
    <t>2091</t>
  </si>
  <si>
    <t>Al Muiz Farizqi Anwar</t>
  </si>
  <si>
    <t>0048406540</t>
  </si>
  <si>
    <t>2127</t>
  </si>
  <si>
    <t>Arfaksad Haikal Al Faqih</t>
  </si>
  <si>
    <t>0060234172</t>
  </si>
  <si>
    <t>2163</t>
  </si>
  <si>
    <t>Alan Budi Setyawan</t>
  </si>
  <si>
    <t>0053893751</t>
  </si>
  <si>
    <t>2199</t>
  </si>
  <si>
    <t>Annisa Aulia Muzghirotul Hanin</t>
  </si>
  <si>
    <t>0042322161</t>
  </si>
  <si>
    <t>2235</t>
  </si>
  <si>
    <t>Anisa Putri</t>
  </si>
  <si>
    <t>0041285159</t>
  </si>
  <si>
    <t>2271</t>
  </si>
  <si>
    <t>Anisa Kurniasih</t>
  </si>
  <si>
    <t>0054216256</t>
  </si>
  <si>
    <t>2307</t>
  </si>
  <si>
    <t>Anandita Davina Alfarestri</t>
  </si>
  <si>
    <t>0063594955</t>
  </si>
  <si>
    <t>2669</t>
  </si>
  <si>
    <t>Arvian David Prasetyo</t>
  </si>
  <si>
    <t>0066336097</t>
  </si>
  <si>
    <t>2705</t>
  </si>
  <si>
    <t>Andrean Saputro</t>
  </si>
  <si>
    <t>0083250083</t>
  </si>
  <si>
    <t>2741</t>
  </si>
  <si>
    <t>Cassandra Naryama Dewi</t>
  </si>
  <si>
    <t>0077554718</t>
  </si>
  <si>
    <t>2777</t>
  </si>
  <si>
    <t>Dela Safitriana</t>
  </si>
  <si>
    <t>0078423511</t>
  </si>
  <si>
    <t>2813</t>
  </si>
  <si>
    <t>Alisa Febriani</t>
  </si>
  <si>
    <t>0073166041</t>
  </si>
  <si>
    <t>2849</t>
  </si>
  <si>
    <t>Ananta Aprilia Pratama Wati</t>
  </si>
  <si>
    <t>0073050064</t>
  </si>
  <si>
    <t>2885</t>
  </si>
  <si>
    <t>Amelia Dyah Febriana</t>
  </si>
  <si>
    <t>0068514481</t>
  </si>
  <si>
    <t>2921</t>
  </si>
  <si>
    <t>Amelya Kapsary</t>
  </si>
  <si>
    <t>0067396852</t>
  </si>
  <si>
    <t>2957</t>
  </si>
  <si>
    <t>Annisa Qoirul Fatimah</t>
  </si>
  <si>
    <t>0055941017</t>
  </si>
  <si>
    <t>2345</t>
  </si>
  <si>
    <t>Anas Kamil Mubarok</t>
  </si>
  <si>
    <t>0069702658</t>
  </si>
  <si>
    <t>2381</t>
  </si>
  <si>
    <t>Alvian Ahmat Vahrezy</t>
  </si>
  <si>
    <t>0061855180</t>
  </si>
  <si>
    <t>2417</t>
  </si>
  <si>
    <t>Amalia Khoirunnisa</t>
  </si>
  <si>
    <t>0069371664</t>
  </si>
  <si>
    <t>2453</t>
  </si>
  <si>
    <t>Ana Yektiadi Prasiwi</t>
  </si>
  <si>
    <t>0057433913</t>
  </si>
  <si>
    <t>2489</t>
  </si>
  <si>
    <t>Anang Andi Prastya</t>
  </si>
  <si>
    <t>0066454416</t>
  </si>
  <si>
    <t>2525</t>
  </si>
  <si>
    <t>Amanda Vanessa Restunia</t>
  </si>
  <si>
    <t>0059928735</t>
  </si>
  <si>
    <t>2561</t>
  </si>
  <si>
    <t>Amara Danti</t>
  </si>
  <si>
    <t>0067478234</t>
  </si>
  <si>
    <t>2597</t>
  </si>
  <si>
    <t>Ananda Febrilyana Wahyuning Kusuma</t>
  </si>
  <si>
    <t>0051371112</t>
  </si>
  <si>
    <t>2633</t>
  </si>
  <si>
    <t>Andhira Deswita Maharani</t>
  </si>
  <si>
    <t>0042784932</t>
  </si>
  <si>
    <t>2020</t>
  </si>
  <si>
    <t>Ahmad Ferdy</t>
  </si>
  <si>
    <t>0056221692</t>
  </si>
  <si>
    <t>2056</t>
  </si>
  <si>
    <t>Al Varo Vahlevi Febriangga</t>
  </si>
  <si>
    <t>0046896468</t>
  </si>
  <si>
    <t>2092</t>
  </si>
  <si>
    <t>Anggraini Kusumaningrum</t>
  </si>
  <si>
    <t>0053816603</t>
  </si>
  <si>
    <t>2128</t>
  </si>
  <si>
    <t>Ayuhana Nurannisa</t>
  </si>
  <si>
    <t>0053815632</t>
  </si>
  <si>
    <t>2164</t>
  </si>
  <si>
    <t>Aldi Satriya Pratama</t>
  </si>
  <si>
    <t>0056096338</t>
  </si>
  <si>
    <t>2200</t>
  </si>
  <si>
    <t>Ayu Lestari</t>
  </si>
  <si>
    <t>0053578392</t>
  </si>
  <si>
    <t>2236</t>
  </si>
  <si>
    <t>Annisa Rahmadhani</t>
  </si>
  <si>
    <t>0055906622</t>
  </si>
  <si>
    <t>2272</t>
  </si>
  <si>
    <t>Anitha Trimurti Dewi</t>
  </si>
  <si>
    <t>0046898449</t>
  </si>
  <si>
    <t>2308</t>
  </si>
  <si>
    <t>Anisa Rohani</t>
  </si>
  <si>
    <t>0068001247</t>
  </si>
  <si>
    <t>2670</t>
  </si>
  <si>
    <t>Baskoro Danu Prasetyo</t>
  </si>
  <si>
    <t>0079365661</t>
  </si>
  <si>
    <t>2706</t>
  </si>
  <si>
    <t>Chelfea Indra Purnama</t>
  </si>
  <si>
    <t>0078259112</t>
  </si>
  <si>
    <t>2742</t>
  </si>
  <si>
    <t>Chaysa Anna Dika Damayanti</t>
  </si>
  <si>
    <t>0063459620</t>
  </si>
  <si>
    <t>2778</t>
  </si>
  <si>
    <t>Dhea Ayulita</t>
  </si>
  <si>
    <t>0073723865</t>
  </si>
  <si>
    <t>2814</t>
  </si>
  <si>
    <t>Anissa Nur Handayani</t>
  </si>
  <si>
    <t>0069893829</t>
  </si>
  <si>
    <t>2850</t>
  </si>
  <si>
    <t>Anisa</t>
  </si>
  <si>
    <t>0072069847</t>
  </si>
  <si>
    <t>2886</t>
  </si>
  <si>
    <t>Andinas Leota Anabel</t>
  </si>
  <si>
    <t>0078385046</t>
  </si>
  <si>
    <t>2922</t>
  </si>
  <si>
    <t>Andrean Adi Prasetyo</t>
  </si>
  <si>
    <t>0073762506</t>
  </si>
  <si>
    <t>2958</t>
  </si>
  <si>
    <t>Aprillia Shinta Triyawati</t>
  </si>
  <si>
    <t>0055697945</t>
  </si>
  <si>
    <t>2346</t>
  </si>
  <si>
    <t>Andika Putra Wiyatama</t>
  </si>
  <si>
    <t>0047397260</t>
  </si>
  <si>
    <t>2382</t>
  </si>
  <si>
    <t>Andi Nugroho</t>
  </si>
  <si>
    <t>0053354354</t>
  </si>
  <si>
    <t>2418</t>
  </si>
  <si>
    <t>Andini Zahra Herawati</t>
  </si>
  <si>
    <t>0067640509</t>
  </si>
  <si>
    <t>2454</t>
  </si>
  <si>
    <t>Angelina Putri Astia Ananta</t>
  </si>
  <si>
    <t>0054748091</t>
  </si>
  <si>
    <t>2490</t>
  </si>
  <si>
    <t>Anggoro Tri Widyanto</t>
  </si>
  <si>
    <t>0061298649</t>
  </si>
  <si>
    <t>2526</t>
  </si>
  <si>
    <t>Andria Dwi Novita Sari</t>
  </si>
  <si>
    <t>0064601815</t>
  </si>
  <si>
    <t>2562</t>
  </si>
  <si>
    <t>Anetta Avrillia</t>
  </si>
  <si>
    <t>0068908832</t>
  </si>
  <si>
    <t>2598</t>
  </si>
  <si>
    <t>Ananda Jasmine Sabrina</t>
  </si>
  <si>
    <t>0067498103</t>
  </si>
  <si>
    <t>2634</t>
  </si>
  <si>
    <t>Anisa Nur Hidayah</t>
  </si>
  <si>
    <t>0046898317</t>
  </si>
  <si>
    <t>2021</t>
  </si>
  <si>
    <t>Alfanendra Girlandy Chandra Pratama</t>
  </si>
  <si>
    <t>0066599132</t>
  </si>
  <si>
    <t>2057</t>
  </si>
  <si>
    <t>Alwhan Vigar Ria Utama</t>
  </si>
  <si>
    <t>0057725946</t>
  </si>
  <si>
    <t>2093</t>
  </si>
  <si>
    <t>Aprilian Hanif Pratama</t>
  </si>
  <si>
    <t>0059518709</t>
  </si>
  <si>
    <t>2129</t>
  </si>
  <si>
    <t>Davina Adira Purnomo</t>
  </si>
  <si>
    <t>0053495566</t>
  </si>
  <si>
    <t>2165</t>
  </si>
  <si>
    <t>Amelia Sonata</t>
  </si>
  <si>
    <t>0047193405</t>
  </si>
  <si>
    <t>2201</t>
  </si>
  <si>
    <t>Cahya Kirani</t>
  </si>
  <si>
    <t>0046196370</t>
  </si>
  <si>
    <t>2237</t>
  </si>
  <si>
    <t>Arifin Tulus Setiawan</t>
  </si>
  <si>
    <t>0047130272</t>
  </si>
  <si>
    <t>2273</t>
  </si>
  <si>
    <t>Aryana Julya Saputri</t>
  </si>
  <si>
    <t>0046009620</t>
  </si>
  <si>
    <t>2309</t>
  </si>
  <si>
    <t>Anisma Riani</t>
  </si>
  <si>
    <t>0065083509</t>
  </si>
  <si>
    <t>2671</t>
  </si>
  <si>
    <t>Danang Firmansyah</t>
  </si>
  <si>
    <t>0071273889</t>
  </si>
  <si>
    <t>2707</t>
  </si>
  <si>
    <t>Crismansyah Brian Cahyadi</t>
  </si>
  <si>
    <t>0075259254</t>
  </si>
  <si>
    <t>2743</t>
  </si>
  <si>
    <t>Chelsea Olivia Marimbi</t>
  </si>
  <si>
    <t>0074913008</t>
  </si>
  <si>
    <t>2779</t>
  </si>
  <si>
    <t>Dhimas Bayu Kurniawan</t>
  </si>
  <si>
    <t>0078269195</t>
  </si>
  <si>
    <t>2815</t>
  </si>
  <si>
    <t>Ararya Marco Athallah</t>
  </si>
  <si>
    <t>0075078774</t>
  </si>
  <si>
    <t>2851</t>
  </si>
  <si>
    <t>Anisa Khoiruljannah</t>
  </si>
  <si>
    <t>0067012600</t>
  </si>
  <si>
    <t>2887</t>
  </si>
  <si>
    <t>Andini Triana</t>
  </si>
  <si>
    <t>0071720157</t>
  </si>
  <si>
    <t>2923</t>
  </si>
  <si>
    <t>Angget Latasya Elisaputri</t>
  </si>
  <si>
    <t>0065418801</t>
  </si>
  <si>
    <t>2959</t>
  </si>
  <si>
    <t>Arifa Octavia Putri</t>
  </si>
  <si>
    <t>0052379823</t>
  </si>
  <si>
    <t>2347</t>
  </si>
  <si>
    <t>Arjuna Sabila Rosyid Uba'I Dulloh</t>
  </si>
  <si>
    <t>0062610812</t>
  </si>
  <si>
    <t>2383</t>
  </si>
  <si>
    <t>Anggoro</t>
  </si>
  <si>
    <t>0063638674</t>
  </si>
  <si>
    <t>2419</t>
  </si>
  <si>
    <t>Anisa Nur Hasanah</t>
  </si>
  <si>
    <t>0061119124</t>
  </si>
  <si>
    <t>2455</t>
  </si>
  <si>
    <t>Annisa Putri Enggarsari</t>
  </si>
  <si>
    <t>0053872082</t>
  </si>
  <si>
    <t>2491</t>
  </si>
  <si>
    <t>Annisa Suci Nur Laiela</t>
  </si>
  <si>
    <t>0051023482</t>
  </si>
  <si>
    <t>2527</t>
  </si>
  <si>
    <t>Anisa Tri Maharani</t>
  </si>
  <si>
    <t>0064798530</t>
  </si>
  <si>
    <t>2563</t>
  </si>
  <si>
    <t>Annisa Zahwa Nurbaiti</t>
  </si>
  <si>
    <t>0042937693</t>
  </si>
  <si>
    <t>2599</t>
  </si>
  <si>
    <t>Anggy Ildana</t>
  </si>
  <si>
    <t>0057703299</t>
  </si>
  <si>
    <t>2635</t>
  </si>
  <si>
    <t>Aprilia Dwi Pramesthi</t>
  </si>
  <si>
    <t>0053816026</t>
  </si>
  <si>
    <t>2022</t>
  </si>
  <si>
    <t>Andi Muhammad Saputro</t>
  </si>
  <si>
    <t>0046817765</t>
  </si>
  <si>
    <t>2058</t>
  </si>
  <si>
    <t>Amin Anisudin</t>
  </si>
  <si>
    <t>0054159514</t>
  </si>
  <si>
    <t>2094</t>
  </si>
  <si>
    <t>Ardilla Kurnia Pratama</t>
  </si>
  <si>
    <t>0043097484</t>
  </si>
  <si>
    <t>2130</t>
  </si>
  <si>
    <t>Devi Aprilia</t>
  </si>
  <si>
    <t>0047130993</t>
  </si>
  <si>
    <t>2166</t>
  </si>
  <si>
    <t>Andila Dwi Anggraeni</t>
  </si>
  <si>
    <t>0048467303</t>
  </si>
  <si>
    <t>2202</t>
  </si>
  <si>
    <t>Candra Prayoga</t>
  </si>
  <si>
    <t>0053577921</t>
  </si>
  <si>
    <t>2238</t>
  </si>
  <si>
    <t>Arnisya Galuh Prastiwi</t>
  </si>
  <si>
    <t>0053578526</t>
  </si>
  <si>
    <t>2274</t>
  </si>
  <si>
    <t>Ayunita Pratiwi</t>
  </si>
  <si>
    <t>0034960678</t>
  </si>
  <si>
    <t>2310</t>
  </si>
  <si>
    <t>Anjar Wahyuningsih</t>
  </si>
  <si>
    <t>0075060370</t>
  </si>
  <si>
    <t>2672</t>
  </si>
  <si>
    <t>Darmawan Putra Febrianto</t>
  </si>
  <si>
    <t>0069447738</t>
  </si>
  <si>
    <t>2708</t>
  </si>
  <si>
    <t>Danang Setiawan</t>
  </si>
  <si>
    <t>0063129924</t>
  </si>
  <si>
    <t>2744</t>
  </si>
  <si>
    <t>Dela Laila Lathifah</t>
  </si>
  <si>
    <t>0065760993</t>
  </si>
  <si>
    <t>2780</t>
  </si>
  <si>
    <t>Duwi Kuswanti</t>
  </si>
  <si>
    <t>0075845694</t>
  </si>
  <si>
    <t>2816</t>
  </si>
  <si>
    <t>Arinda Citra Prihabsari</t>
  </si>
  <si>
    <t>0079519544</t>
  </si>
  <si>
    <t>2852</t>
  </si>
  <si>
    <t>Bilkhis Valentina Asfi</t>
  </si>
  <si>
    <t>0071744630</t>
  </si>
  <si>
    <t>2888</t>
  </si>
  <si>
    <t>Angelita Argesty</t>
  </si>
  <si>
    <t>0065561174</t>
  </si>
  <si>
    <t>2924</t>
  </si>
  <si>
    <t>Anisa Wulandari</t>
  </si>
  <si>
    <t>0071185326</t>
  </si>
  <si>
    <t>2960</t>
  </si>
  <si>
    <t>Bela Puspita Sari</t>
  </si>
  <si>
    <t>0053334604</t>
  </si>
  <si>
    <t>2348</t>
  </si>
  <si>
    <t>Axl Ronald Seva Dewanto</t>
  </si>
  <si>
    <t>0057252877</t>
  </si>
  <si>
    <t>2384</t>
  </si>
  <si>
    <t>Arya Rizqi Pratama</t>
  </si>
  <si>
    <t>0067437812</t>
  </si>
  <si>
    <t>2420</t>
  </si>
  <si>
    <t>Anjellica Qurnia Rachmawati</t>
  </si>
  <si>
    <t>0069471250</t>
  </si>
  <si>
    <t>2456</t>
  </si>
  <si>
    <t>Aulia Putri Permadani</t>
  </si>
  <si>
    <t>0058650322</t>
  </si>
  <si>
    <t>2492</t>
  </si>
  <si>
    <t>Ayub Wicaksono</t>
  </si>
  <si>
    <t>0068230284</t>
  </si>
  <si>
    <t>2528</t>
  </si>
  <si>
    <t>Aprilia Nur Halimah</t>
  </si>
  <si>
    <t>0052755835</t>
  </si>
  <si>
    <t>2564</t>
  </si>
  <si>
    <t>Ardila Deby Nirmalasari</t>
  </si>
  <si>
    <t>0068235169</t>
  </si>
  <si>
    <t>2600</t>
  </si>
  <si>
    <t>Anton Dwi Herdinata</t>
  </si>
  <si>
    <t>0053097868</t>
  </si>
  <si>
    <t>2636</t>
  </si>
  <si>
    <t>Argista Pramesti</t>
  </si>
  <si>
    <t>0053575320</t>
  </si>
  <si>
    <t>2023</t>
  </si>
  <si>
    <t>Arifin Koirul Aziz</t>
  </si>
  <si>
    <t>0045940595</t>
  </si>
  <si>
    <t>2059</t>
  </si>
  <si>
    <t>Anang Sugeng Riyadi</t>
  </si>
  <si>
    <t>0053773116</t>
  </si>
  <si>
    <t>2095</t>
  </si>
  <si>
    <t>Arvito Adi Putra</t>
  </si>
  <si>
    <t>0053575244</t>
  </si>
  <si>
    <t>2131</t>
  </si>
  <si>
    <t>Dina Windri Aningrum</t>
  </si>
  <si>
    <t>0047040233</t>
  </si>
  <si>
    <t>2167</t>
  </si>
  <si>
    <t>Aulia Qusnul Mubarokah</t>
  </si>
  <si>
    <t>0047130522</t>
  </si>
  <si>
    <t>2203</t>
  </si>
  <si>
    <t>Chika Fitriani</t>
  </si>
  <si>
    <t>0053479660</t>
  </si>
  <si>
    <t>2239</t>
  </si>
  <si>
    <t>Asyifa Agita Nur Wardhani</t>
  </si>
  <si>
    <t>0043097574</t>
  </si>
  <si>
    <t>2275</t>
  </si>
  <si>
    <t>Bima Dwi Prasetyo</t>
  </si>
  <si>
    <t>0053635206</t>
  </si>
  <si>
    <t>2311</t>
  </si>
  <si>
    <t>Arif Dwianto</t>
  </si>
  <si>
    <t>0061405430</t>
  </si>
  <si>
    <t>2673</t>
  </si>
  <si>
    <t>Desta Alif Yogatama</t>
  </si>
  <si>
    <t>0077949498</t>
  </si>
  <si>
    <t>2709</t>
  </si>
  <si>
    <t>Dani Anjasmara Putra</t>
  </si>
  <si>
    <t>0076731852</t>
  </si>
  <si>
    <t>2745</t>
  </si>
  <si>
    <t>Dian Puspita Arumsari</t>
  </si>
  <si>
    <t>0071101439</t>
  </si>
  <si>
    <t>2781</t>
  </si>
  <si>
    <t>Ega Alal Ananta</t>
  </si>
  <si>
    <t>0088884892</t>
  </si>
  <si>
    <t>2817</t>
  </si>
  <si>
    <t>Dananjaya Yusfa Adly Ma'Ayiza</t>
  </si>
  <si>
    <t>0067943817</t>
  </si>
  <si>
    <t>2853</t>
  </si>
  <si>
    <t>Cincin Gempa Aneha</t>
  </si>
  <si>
    <t>0078718292</t>
  </si>
  <si>
    <t>2889</t>
  </si>
  <si>
    <t>Anggun Siskawati Halimah</t>
  </si>
  <si>
    <t>0061736725</t>
  </si>
  <si>
    <t>2925</t>
  </si>
  <si>
    <t>Anita Dwi Fitriana</t>
  </si>
  <si>
    <t>0078057316</t>
  </si>
  <si>
    <t>2961</t>
  </si>
  <si>
    <t>Chalistha Elgha Angelita</t>
  </si>
  <si>
    <t>0061558678</t>
  </si>
  <si>
    <t>2349</t>
  </si>
  <si>
    <t>Azka Nuri Wicaksono</t>
  </si>
  <si>
    <t>0067952684</t>
  </si>
  <si>
    <t>2385</t>
  </si>
  <si>
    <t>Aziz Nur Fatur Rahman</t>
  </si>
  <si>
    <t>0067404943</t>
  </si>
  <si>
    <t>2421</t>
  </si>
  <si>
    <t>Atik Dana Fadhillah</t>
  </si>
  <si>
    <t>0066060161</t>
  </si>
  <si>
    <t>2457</t>
  </si>
  <si>
    <t>Cantika Alifia Maharani</t>
  </si>
  <si>
    <t>0053816408</t>
  </si>
  <si>
    <t>2493</t>
  </si>
  <si>
    <t>Daniel Hermansyah</t>
  </si>
  <si>
    <t>0059902156</t>
  </si>
  <si>
    <t>2529</t>
  </si>
  <si>
    <t>Arina Azifatul Jannah</t>
  </si>
  <si>
    <t>0061289292</t>
  </si>
  <si>
    <t>2565</t>
  </si>
  <si>
    <t>Asilia Nezza Kirana</t>
  </si>
  <si>
    <t>0058801980</t>
  </si>
  <si>
    <t>2601</t>
  </si>
  <si>
    <t>Ardina Juani Adestin</t>
  </si>
  <si>
    <t>0068178999</t>
  </si>
  <si>
    <t>2637</t>
  </si>
  <si>
    <t>Avita Nur Fadilah</t>
  </si>
  <si>
    <t>0053575306</t>
  </si>
  <si>
    <t>2024</t>
  </si>
  <si>
    <t>Ayu Ningtyas</t>
  </si>
  <si>
    <t>3038706486</t>
  </si>
  <si>
    <t>2060</t>
  </si>
  <si>
    <t>Annas Ridho Firmansyah</t>
  </si>
  <si>
    <t>0056223447</t>
  </si>
  <si>
    <t>2096</t>
  </si>
  <si>
    <t>Aulia Sandi</t>
  </si>
  <si>
    <t>0046896435</t>
  </si>
  <si>
    <t>2132</t>
  </si>
  <si>
    <t>Egin Selvianna</t>
  </si>
  <si>
    <t>0042932834</t>
  </si>
  <si>
    <t>2168</t>
  </si>
  <si>
    <t>Elfira Yudith Tia</t>
  </si>
  <si>
    <t>0053575134</t>
  </si>
  <si>
    <t>2204</t>
  </si>
  <si>
    <t>Desika Pramesti</t>
  </si>
  <si>
    <t>0053578297</t>
  </si>
  <si>
    <t>2240</t>
  </si>
  <si>
    <t>Azizzah Salsabilla Gibrani</t>
  </si>
  <si>
    <t>0047956161</t>
  </si>
  <si>
    <t>2276</t>
  </si>
  <si>
    <t>Desi Nur Anggraini</t>
  </si>
  <si>
    <t>0054512313</t>
  </si>
  <si>
    <t>2312</t>
  </si>
  <si>
    <t>Arvina Agustin</t>
  </si>
  <si>
    <t>0075802781</t>
  </si>
  <si>
    <t>2674</t>
  </si>
  <si>
    <t>Dhezzta Maulana Suviollah</t>
  </si>
  <si>
    <t>0089592075</t>
  </si>
  <si>
    <t>2710</t>
  </si>
  <si>
    <t>Dava Fabian Pratama</t>
  </si>
  <si>
    <t>0073507191</t>
  </si>
  <si>
    <t>2746</t>
  </si>
  <si>
    <t>Elisa Nur Saputri</t>
  </si>
  <si>
    <t>0063180813</t>
  </si>
  <si>
    <t>2782</t>
  </si>
  <si>
    <t>Elis Vianisa Hasanah</t>
  </si>
  <si>
    <t>0073454888</t>
  </si>
  <si>
    <t>2818</t>
  </si>
  <si>
    <t>Dea Aprelya Negysta</t>
  </si>
  <si>
    <t>0073169604</t>
  </si>
  <si>
    <t>2854</t>
  </si>
  <si>
    <t>Citra Florenzya Damaranova</t>
  </si>
  <si>
    <t>0061628598</t>
  </si>
  <si>
    <t>2890</t>
  </si>
  <si>
    <t>Annisa Nadia Pratiwi</t>
  </si>
  <si>
    <t>0063764057</t>
  </si>
  <si>
    <t>2926</t>
  </si>
  <si>
    <t>Aprilia Wulandari</t>
  </si>
  <si>
    <t>0079692688</t>
  </si>
  <si>
    <t>2962</t>
  </si>
  <si>
    <t>Dika Puspita Sari</t>
  </si>
  <si>
    <t>0051003222</t>
  </si>
  <si>
    <t>2350</t>
  </si>
  <si>
    <t>Danar Saputra</t>
  </si>
  <si>
    <t>0066501632</t>
  </si>
  <si>
    <t>2386</t>
  </si>
  <si>
    <t>Bagus Haryono</t>
  </si>
  <si>
    <t>0057893332</t>
  </si>
  <si>
    <t>2422</t>
  </si>
  <si>
    <t>Bagas Dwi Andika</t>
  </si>
  <si>
    <t>0052603482</t>
  </si>
  <si>
    <t>2458</t>
  </si>
  <si>
    <t>Davi Purnomo</t>
  </si>
  <si>
    <t>0051260115</t>
  </si>
  <si>
    <t>2494</t>
  </si>
  <si>
    <t>Devi Septyaningrum</t>
  </si>
  <si>
    <t>0062060170</t>
  </si>
  <si>
    <t>2530</t>
  </si>
  <si>
    <t>Denny Nur Aziza</t>
  </si>
  <si>
    <t>0053673991</t>
  </si>
  <si>
    <t>2566</t>
  </si>
  <si>
    <t>Carissa Rizqi Maulana Latifah</t>
  </si>
  <si>
    <t>0055439830</t>
  </si>
  <si>
    <t>2602</t>
  </si>
  <si>
    <t>Astri Putri Mia</t>
  </si>
  <si>
    <t>0066284918</t>
  </si>
  <si>
    <t>2638</t>
  </si>
  <si>
    <t>Dimas Sebastian Ray</t>
  </si>
  <si>
    <t>0054571127</t>
  </si>
  <si>
    <t>2025</t>
  </si>
  <si>
    <t>Azz-Kaa Abdillah Sholeh Al Fath</t>
  </si>
  <si>
    <t>0046817760</t>
  </si>
  <si>
    <t>2061</t>
  </si>
  <si>
    <t>Ari Rusdianto</t>
  </si>
  <si>
    <t>0053772965</t>
  </si>
  <si>
    <t>2097</t>
  </si>
  <si>
    <t>Aurellia Dwi Andika</t>
  </si>
  <si>
    <t>0053577910</t>
  </si>
  <si>
    <t>2133</t>
  </si>
  <si>
    <t>Elsa Fernanda Saputri</t>
  </si>
  <si>
    <t>0047130540</t>
  </si>
  <si>
    <t>2169</t>
  </si>
  <si>
    <t>Erlangga Noer Bintang Ramadhan</t>
  </si>
  <si>
    <t>0047078923</t>
  </si>
  <si>
    <t>2205</t>
  </si>
  <si>
    <t>Deya Shinta</t>
  </si>
  <si>
    <t>0059473359</t>
  </si>
  <si>
    <t>2241</t>
  </si>
  <si>
    <t>Clhorita Husen Endang Avreliana</t>
  </si>
  <si>
    <t>0047130278</t>
  </si>
  <si>
    <t>2277</t>
  </si>
  <si>
    <t>Desvita Adelya Irawan</t>
  </si>
  <si>
    <t>0053577865</t>
  </si>
  <si>
    <t>2313</t>
  </si>
  <si>
    <t>Berlian Difa Neverandra</t>
  </si>
  <si>
    <t>0067901773</t>
  </si>
  <si>
    <t>2676</t>
  </si>
  <si>
    <t>Diva Aditya Putra Ramadhani</t>
  </si>
  <si>
    <t>0053490066</t>
  </si>
  <si>
    <t>2711</t>
  </si>
  <si>
    <t>Denik Ary Priyanathan</t>
  </si>
  <si>
    <t>0075025531</t>
  </si>
  <si>
    <t>2747</t>
  </si>
  <si>
    <t>Gita Arila Triandini</t>
  </si>
  <si>
    <t>0079550214</t>
  </si>
  <si>
    <t>2783</t>
  </si>
  <si>
    <t>Erfia Putri Marfika</t>
  </si>
  <si>
    <t>0072986380</t>
  </si>
  <si>
    <t>2819</t>
  </si>
  <si>
    <t>Dhea Nuraini</t>
  </si>
  <si>
    <t>0062405778</t>
  </si>
  <si>
    <t>2855</t>
  </si>
  <si>
    <t>Dellia Regita Cahyani</t>
  </si>
  <si>
    <t>'0071331018</t>
  </si>
  <si>
    <t>2891</t>
  </si>
  <si>
    <t>'Aqila Rajwa Aransti</t>
  </si>
  <si>
    <t>0065252685</t>
  </si>
  <si>
    <t>2927</t>
  </si>
  <si>
    <t>Arfin Dwi Prasetyo</t>
  </si>
  <si>
    <t>0062490515</t>
  </si>
  <si>
    <t>2963</t>
  </si>
  <si>
    <t>Elka Maudy Apriliana Anaza</t>
  </si>
  <si>
    <t>0056947960</t>
  </si>
  <si>
    <t>2351</t>
  </si>
  <si>
    <t>Dhoni Riyatmojo</t>
  </si>
  <si>
    <t>0065124528</t>
  </si>
  <si>
    <t>2387</t>
  </si>
  <si>
    <t>Dhiyan Setiyanto</t>
  </si>
  <si>
    <t>0067073419</t>
  </si>
  <si>
    <t>2423</t>
  </si>
  <si>
    <t>Danik Sulistyaningsih</t>
  </si>
  <si>
    <t>0068515341</t>
  </si>
  <si>
    <t>2459</t>
  </si>
  <si>
    <t>Dedy Nur Rohman</t>
  </si>
  <si>
    <t>0049349574</t>
  </si>
  <si>
    <t>2495</t>
  </si>
  <si>
    <t>Diki Bagas Saputra</t>
  </si>
  <si>
    <t>0047447575</t>
  </si>
  <si>
    <t>2531</t>
  </si>
  <si>
    <t>Dini Asmarawati</t>
  </si>
  <si>
    <t>0062165003</t>
  </si>
  <si>
    <t>2567</t>
  </si>
  <si>
    <t>Dewi Nur Febriana</t>
  </si>
  <si>
    <t>0052379078</t>
  </si>
  <si>
    <t>2603</t>
  </si>
  <si>
    <t>Bagas Indra Saputra</t>
  </si>
  <si>
    <t>0066071979</t>
  </si>
  <si>
    <t>2639</t>
  </si>
  <si>
    <t>Dini Artika Putri</t>
  </si>
  <si>
    <t>0045221613</t>
  </si>
  <si>
    <t>2026</t>
  </si>
  <si>
    <t>Bangkit Ridwan Daviyanto</t>
  </si>
  <si>
    <t>0053578338</t>
  </si>
  <si>
    <t>2063</t>
  </si>
  <si>
    <t>Aril Satriya Putra Utama</t>
  </si>
  <si>
    <t>0008802079</t>
  </si>
  <si>
    <t>2098</t>
  </si>
  <si>
    <t>Deva Adi Permana</t>
  </si>
  <si>
    <t>0053578578</t>
  </si>
  <si>
    <t>2134</t>
  </si>
  <si>
    <t>Erna Vatikasari</t>
  </si>
  <si>
    <t>0042932038</t>
  </si>
  <si>
    <t>2170</t>
  </si>
  <si>
    <t>Ervina Nur Rahmawati</t>
  </si>
  <si>
    <t>0049138611</t>
  </si>
  <si>
    <t>2206</t>
  </si>
  <si>
    <t>Dian Septyaningsih</t>
  </si>
  <si>
    <t>0047130482</t>
  </si>
  <si>
    <t>2242</t>
  </si>
  <si>
    <t>Desi Ayu Syahrani</t>
  </si>
  <si>
    <t>0055527133</t>
  </si>
  <si>
    <t>2278</t>
  </si>
  <si>
    <t>Diana Nur Fauziah</t>
  </si>
  <si>
    <t>0046898572</t>
  </si>
  <si>
    <t>2314</t>
  </si>
  <si>
    <t>Desvita Suryaningrum</t>
  </si>
  <si>
    <t>0061064264</t>
  </si>
  <si>
    <t>2677</t>
  </si>
  <si>
    <t>Feery Febriansyah</t>
  </si>
  <si>
    <t>0061931434</t>
  </si>
  <si>
    <t>2712</t>
  </si>
  <si>
    <t>Dimas Satria Ramadhani</t>
  </si>
  <si>
    <t>0064407910</t>
  </si>
  <si>
    <t>2748</t>
  </si>
  <si>
    <t>Indie Nur Fadilah</t>
  </si>
  <si>
    <t>0063017289</t>
  </si>
  <si>
    <t>2784</t>
  </si>
  <si>
    <t>Fadhil Harwan Ramadani</t>
  </si>
  <si>
    <t>0072899107</t>
  </si>
  <si>
    <t>2820</t>
  </si>
  <si>
    <t>Ervina Dwi Astuti</t>
  </si>
  <si>
    <t>0065951829</t>
  </si>
  <si>
    <t>2856</t>
  </si>
  <si>
    <t>Diva Meila Sari</t>
  </si>
  <si>
    <t>0075995647</t>
  </si>
  <si>
    <t>2892</t>
  </si>
  <si>
    <t>Arzetty Maharani</t>
  </si>
  <si>
    <t>0062436954</t>
  </si>
  <si>
    <t>2928</t>
  </si>
  <si>
    <t>Arista Noer Rahmawati</t>
  </si>
  <si>
    <t>0074248191</t>
  </si>
  <si>
    <t>2964</t>
  </si>
  <si>
    <t>Ellisa Tri Handayani</t>
  </si>
  <si>
    <t>0042937482</t>
  </si>
  <si>
    <t>2352</t>
  </si>
  <si>
    <t>Dio Muhammad Rinaldi</t>
  </si>
  <si>
    <t>0061379064</t>
  </si>
  <si>
    <t>2388</t>
  </si>
  <si>
    <t>Dio Ari Ananda</t>
  </si>
  <si>
    <t>0052156483</t>
  </si>
  <si>
    <t>2424</t>
  </si>
  <si>
    <t>Delvia Prasetyaningrum</t>
  </si>
  <si>
    <t>0057853359</t>
  </si>
  <si>
    <t>2460</t>
  </si>
  <si>
    <t>Desta Alfian Handoko</t>
  </si>
  <si>
    <t>0054084208</t>
  </si>
  <si>
    <t>2496</t>
  </si>
  <si>
    <t>Dinda Saputri</t>
  </si>
  <si>
    <t>0061700279</t>
  </si>
  <si>
    <t>2532</t>
  </si>
  <si>
    <t>Elisa Vinka Yudanti</t>
  </si>
  <si>
    <t>0058705831</t>
  </si>
  <si>
    <t>2568</t>
  </si>
  <si>
    <t>Disna Aryani</t>
  </si>
  <si>
    <t>0052861285</t>
  </si>
  <si>
    <t>2604</t>
  </si>
  <si>
    <t>Debyta Aurelia Aryanti</t>
  </si>
  <si>
    <t>0061581724</t>
  </si>
  <si>
    <t>2640</t>
  </si>
  <si>
    <t>Dyah Prihatin Mela Sonia</t>
  </si>
  <si>
    <t>0052772725</t>
  </si>
  <si>
    <t>2027</t>
  </si>
  <si>
    <t>Bayu Saputro</t>
  </si>
  <si>
    <t>0047998244</t>
  </si>
  <si>
    <t>2064</t>
  </si>
  <si>
    <t>Bayu Aji</t>
  </si>
  <si>
    <t>0058568029</t>
  </si>
  <si>
    <t>2099</t>
  </si>
  <si>
    <t>Dhiah Okta Ramadhani</t>
  </si>
  <si>
    <t>0052792136</t>
  </si>
  <si>
    <t>2135</t>
  </si>
  <si>
    <t>Fatin Fauziana</t>
  </si>
  <si>
    <t>0053815861</t>
  </si>
  <si>
    <t>2171</t>
  </si>
  <si>
    <t>Evelyn Chandra Dewi</t>
  </si>
  <si>
    <t>0046896441</t>
  </si>
  <si>
    <t>2207</t>
  </si>
  <si>
    <t>Diana Novita</t>
  </si>
  <si>
    <t>0055287511</t>
  </si>
  <si>
    <t>2243</t>
  </si>
  <si>
    <t>Dianna Rahayu</t>
  </si>
  <si>
    <t>0058295212</t>
  </si>
  <si>
    <t>2279</t>
  </si>
  <si>
    <t>Dwi Patmawati</t>
  </si>
  <si>
    <t>0049058283</t>
  </si>
  <si>
    <t>2315</t>
  </si>
  <si>
    <t>Desy Ratna Wijayanti</t>
  </si>
  <si>
    <t>0073674769</t>
  </si>
  <si>
    <t>2678</t>
  </si>
  <si>
    <t>Frengky Febrian Fahmi</t>
  </si>
  <si>
    <t>0076724623</t>
  </si>
  <si>
    <t>2713</t>
  </si>
  <si>
    <t>Febri Indrianto</t>
  </si>
  <si>
    <t>0065942641</t>
  </si>
  <si>
    <t>2749</t>
  </si>
  <si>
    <t>Irma Ayu Andari</t>
  </si>
  <si>
    <t>0068398502</t>
  </si>
  <si>
    <t>2785</t>
  </si>
  <si>
    <t>Fajar Wahyono</t>
  </si>
  <si>
    <t>0075245410</t>
  </si>
  <si>
    <t>2821</t>
  </si>
  <si>
    <t>Felicia Putri Aqviryana</t>
  </si>
  <si>
    <t>0075723340</t>
  </si>
  <si>
    <t>2857</t>
  </si>
  <si>
    <t>Erina Dwi Prastiti</t>
  </si>
  <si>
    <t>0067785407</t>
  </si>
  <si>
    <t>2893</t>
  </si>
  <si>
    <t>Audinda Fitri Sholeha</t>
  </si>
  <si>
    <t>0079445265</t>
  </si>
  <si>
    <t>2929</t>
  </si>
  <si>
    <t>Bela Artika Maharany</t>
  </si>
  <si>
    <t>0068911887</t>
  </si>
  <si>
    <t>2965</t>
  </si>
  <si>
    <t>Fitri Novitasari</t>
  </si>
  <si>
    <t>0062547119</t>
  </si>
  <si>
    <t>2353</t>
  </si>
  <si>
    <t>Fadli Agustian</t>
  </si>
  <si>
    <t>0051907776</t>
  </si>
  <si>
    <t>2389</t>
  </si>
  <si>
    <t>Dzaky Ahmad Fahrezi</t>
  </si>
  <si>
    <t>0042931969</t>
  </si>
  <si>
    <t>2425</t>
  </si>
  <si>
    <t>Dhanurwenda Johan Setiarso</t>
  </si>
  <si>
    <t>0058730795</t>
  </si>
  <si>
    <t>2461</t>
  </si>
  <si>
    <t>Dhea Shinta</t>
  </si>
  <si>
    <t>0053577866</t>
  </si>
  <si>
    <t>2497</t>
  </si>
  <si>
    <t>Disca Catur Anggraini</t>
  </si>
  <si>
    <t>0055382560</t>
  </si>
  <si>
    <t>2533</t>
  </si>
  <si>
    <t>Fauzi Reza Habibi</t>
  </si>
  <si>
    <t>0054883444</t>
  </si>
  <si>
    <t>2569</t>
  </si>
  <si>
    <t>Elza Dwi Rahmawati</t>
  </si>
  <si>
    <t>0052591869</t>
  </si>
  <si>
    <t>2605</t>
  </si>
  <si>
    <t>Dhella Sulistiawati</t>
  </si>
  <si>
    <t>0077925647</t>
  </si>
  <si>
    <t>2641</t>
  </si>
  <si>
    <t>Eva Queen Anissa May</t>
  </si>
  <si>
    <t>0056786145</t>
  </si>
  <si>
    <t>2028</t>
  </si>
  <si>
    <t>Bella</t>
  </si>
  <si>
    <t>0044305859</t>
  </si>
  <si>
    <t>2065</t>
  </si>
  <si>
    <t>Dedi Wiratno</t>
  </si>
  <si>
    <t>0052731227</t>
  </si>
  <si>
    <t>2100</t>
  </si>
  <si>
    <t>Dio Mei Pratiwi</t>
  </si>
  <si>
    <t>0053578373</t>
  </si>
  <si>
    <t>2136</t>
  </si>
  <si>
    <t>Feni Anastasia</t>
  </si>
  <si>
    <t>0052396343</t>
  </si>
  <si>
    <t>2172</t>
  </si>
  <si>
    <t>Febriyan Arya Saputra</t>
  </si>
  <si>
    <t>0054954267</t>
  </si>
  <si>
    <t>2208</t>
  </si>
  <si>
    <t>Elisa Puspitasari</t>
  </si>
  <si>
    <t>0053575254</t>
  </si>
  <si>
    <t>2244</t>
  </si>
  <si>
    <t>Dysa Safitri</t>
  </si>
  <si>
    <t>0049606841</t>
  </si>
  <si>
    <t>2280</t>
  </si>
  <si>
    <t>Eka Oktaviana Ramadhani</t>
  </si>
  <si>
    <t>0053578333</t>
  </si>
  <si>
    <t>2316</t>
  </si>
  <si>
    <t>Dian Pratika Sari</t>
  </si>
  <si>
    <t>0077511409</t>
  </si>
  <si>
    <t>2679</t>
  </si>
  <si>
    <t>Ibra Khalish Dinata</t>
  </si>
  <si>
    <t>0077065832</t>
  </si>
  <si>
    <t>2714</t>
  </si>
  <si>
    <t>Feri Novalis Kurniawan</t>
  </si>
  <si>
    <t>0072422659</t>
  </si>
  <si>
    <t>2750</t>
  </si>
  <si>
    <t>Kabita Eka Agustya</t>
  </si>
  <si>
    <t>0068927993</t>
  </si>
  <si>
    <t>2786</t>
  </si>
  <si>
    <t>Ferdinan Dwi Sanjaya</t>
  </si>
  <si>
    <t>0065749094</t>
  </si>
  <si>
    <t>2822</t>
  </si>
  <si>
    <t>Ferdi Hardianto</t>
  </si>
  <si>
    <t>0074884692</t>
  </si>
  <si>
    <t>2858</t>
  </si>
  <si>
    <t>Fristiana Barlinna Putri</t>
  </si>
  <si>
    <t>0077213386</t>
  </si>
  <si>
    <t>2894</t>
  </si>
  <si>
    <t>Bellina Kusuma Wardhani</t>
  </si>
  <si>
    <t>0074970141</t>
  </si>
  <si>
    <t>2930</t>
  </si>
  <si>
    <t>Chelsea Regiana Putri Arumsari</t>
  </si>
  <si>
    <t>0065151918</t>
  </si>
  <si>
    <t>2966</t>
  </si>
  <si>
    <t>Fitria Diah Ayu Niadi</t>
  </si>
  <si>
    <t>0051328391</t>
  </si>
  <si>
    <t>2354</t>
  </si>
  <si>
    <t>Fajar Rivano</t>
  </si>
  <si>
    <t>0065139195</t>
  </si>
  <si>
    <t>2390</t>
  </si>
  <si>
    <t>Faizal Mustaqim</t>
  </si>
  <si>
    <t>0055218356</t>
  </si>
  <si>
    <t>2426</t>
  </si>
  <si>
    <t>Dinda Jeliya Wati</t>
  </si>
  <si>
    <t>0068053701</t>
  </si>
  <si>
    <t>2462</t>
  </si>
  <si>
    <t>Elma Indriani</t>
  </si>
  <si>
    <t>0067164436</t>
  </si>
  <si>
    <t>2498</t>
  </si>
  <si>
    <t>Endah Nur Hidayati</t>
  </si>
  <si>
    <t>0062918321</t>
  </si>
  <si>
    <t>2534</t>
  </si>
  <si>
    <t>Fiona Indy Alya Rohaly</t>
  </si>
  <si>
    <t>0058488615</t>
  </si>
  <si>
    <t>2570</t>
  </si>
  <si>
    <t>Febriana Kartika Sari</t>
  </si>
  <si>
    <t>0064604443</t>
  </si>
  <si>
    <t>2606</t>
  </si>
  <si>
    <t>Ditta Rahma Faulina</t>
  </si>
  <si>
    <t>0069110144</t>
  </si>
  <si>
    <t>2642</t>
  </si>
  <si>
    <t>Fike Tata Fradita</t>
  </si>
  <si>
    <t>0047339789</t>
  </si>
  <si>
    <t>2029</t>
  </si>
  <si>
    <t>Deddy Dwi Sukarno</t>
  </si>
  <si>
    <t>0055564517</t>
  </si>
  <si>
    <t>2066</t>
  </si>
  <si>
    <t>Dimas Tri Manunggal</t>
  </si>
  <si>
    <t>0052731250</t>
  </si>
  <si>
    <t>2101</t>
  </si>
  <si>
    <t>Elma Eviana</t>
  </si>
  <si>
    <t>0053479663</t>
  </si>
  <si>
    <t>2137</t>
  </si>
  <si>
    <t>Fitra Dany Herlambang</t>
  </si>
  <si>
    <t>0043206860</t>
  </si>
  <si>
    <t>2173</t>
  </si>
  <si>
    <t>Felandini Isa Brina</t>
  </si>
  <si>
    <t>0059217062</t>
  </si>
  <si>
    <t>2209</t>
  </si>
  <si>
    <t>Ervina Putri Aprilia</t>
  </si>
  <si>
    <t>0052946794</t>
  </si>
  <si>
    <t>2245</t>
  </si>
  <si>
    <t>Eka Dwi Lestari</t>
  </si>
  <si>
    <t>0036695721</t>
  </si>
  <si>
    <t>2281</t>
  </si>
  <si>
    <t>Endah Dwi Septiani</t>
  </si>
  <si>
    <t>0046896436</t>
  </si>
  <si>
    <t>2317</t>
  </si>
  <si>
    <t>Dini Eka Putri</t>
  </si>
  <si>
    <t>0076051114</t>
  </si>
  <si>
    <t>2680</t>
  </si>
  <si>
    <t>Ikhsan Rafiansah</t>
  </si>
  <si>
    <t>0072067483</t>
  </si>
  <si>
    <t>2715</t>
  </si>
  <si>
    <t>Gabriele Djuliant Keysha</t>
  </si>
  <si>
    <t>0074452143</t>
  </si>
  <si>
    <t>2751</t>
  </si>
  <si>
    <t>Keyla Fitri Ramadhani</t>
  </si>
  <si>
    <t>0061954948</t>
  </si>
  <si>
    <t>2787</t>
  </si>
  <si>
    <t>Fita Setyasih</t>
  </si>
  <si>
    <t>0079708281</t>
  </si>
  <si>
    <t>2823</t>
  </si>
  <si>
    <t>Intan Puspitasari</t>
  </si>
  <si>
    <t>0072103468</t>
  </si>
  <si>
    <t>2859</t>
  </si>
  <si>
    <t>Ika Devita Sari</t>
  </si>
  <si>
    <t>0062662536</t>
  </si>
  <si>
    <t>2895</t>
  </si>
  <si>
    <t>Distiana Nayla Gita Maharani</t>
  </si>
  <si>
    <t>0072386988</t>
  </si>
  <si>
    <t>2931</t>
  </si>
  <si>
    <t>Dewi Rahayu</t>
  </si>
  <si>
    <t>0087806219</t>
  </si>
  <si>
    <t>2967</t>
  </si>
  <si>
    <t>Galuh Rahmawati</t>
  </si>
  <si>
    <t>0065409366</t>
  </si>
  <si>
    <t>2355</t>
  </si>
  <si>
    <t>Farel Ade Febrian</t>
  </si>
  <si>
    <t>0069134695</t>
  </si>
  <si>
    <t>2391</t>
  </si>
  <si>
    <t>Fajriyan Dwi Putra</t>
  </si>
  <si>
    <t>0068232271</t>
  </si>
  <si>
    <t>2427</t>
  </si>
  <si>
    <t>Edi Setiawan</t>
  </si>
  <si>
    <t>0061764042</t>
  </si>
  <si>
    <t>2463</t>
  </si>
  <si>
    <t>Ervi Ayu Virgiyeti</t>
  </si>
  <si>
    <t>0063014012</t>
  </si>
  <si>
    <t>2499</t>
  </si>
  <si>
    <t>Eva Sab'Rina</t>
  </si>
  <si>
    <t>0055109368</t>
  </si>
  <si>
    <t>2535</t>
  </si>
  <si>
    <t>Grizka Nofitriani</t>
  </si>
  <si>
    <t>0062379956</t>
  </si>
  <si>
    <t>2571</t>
  </si>
  <si>
    <t>Fyzza Damara Febriany</t>
  </si>
  <si>
    <t>0062548887</t>
  </si>
  <si>
    <t>2607</t>
  </si>
  <si>
    <t>Erika Valentina Putri</t>
  </si>
  <si>
    <t>0054137845</t>
  </si>
  <si>
    <t>2643</t>
  </si>
  <si>
    <t>Gita Dwi Amanda</t>
  </si>
  <si>
    <t>0046817771</t>
  </si>
  <si>
    <t>2030</t>
  </si>
  <si>
    <t>Dimas Tri Handoko</t>
  </si>
  <si>
    <t>0050492405</t>
  </si>
  <si>
    <t>2068</t>
  </si>
  <si>
    <t>Fauzan Rifky Haryanto</t>
  </si>
  <si>
    <t>0046898662</t>
  </si>
  <si>
    <t>2102</t>
  </si>
  <si>
    <t>Fatimah Asahra</t>
  </si>
  <si>
    <t>0053815955</t>
  </si>
  <si>
    <t>2138</t>
  </si>
  <si>
    <t>Frighyta Listhira Antoino</t>
  </si>
  <si>
    <t>0053578576</t>
  </si>
  <si>
    <t>2174</t>
  </si>
  <si>
    <t>Ferdian Eka Syamsudin</t>
  </si>
  <si>
    <t>0046898457</t>
  </si>
  <si>
    <t>2210</t>
  </si>
  <si>
    <t>Eva Yuliana</t>
  </si>
  <si>
    <t>0048974621</t>
  </si>
  <si>
    <t>2246</t>
  </si>
  <si>
    <t>Elsa Nabila Putri</t>
  </si>
  <si>
    <t>0052569908</t>
  </si>
  <si>
    <t>2282</t>
  </si>
  <si>
    <t>Innes Imaningtyas</t>
  </si>
  <si>
    <t>0053815783</t>
  </si>
  <si>
    <t>2318</t>
  </si>
  <si>
    <t>Dwi Rahayu</t>
  </si>
  <si>
    <t>0059519694</t>
  </si>
  <si>
    <t>2681</t>
  </si>
  <si>
    <t>Irvan Nur Ramadhan</t>
  </si>
  <si>
    <t>0073747156</t>
  </si>
  <si>
    <t>2716</t>
  </si>
  <si>
    <t>Galang Saputra</t>
  </si>
  <si>
    <t>0075408036</t>
  </si>
  <si>
    <t>2752</t>
  </si>
  <si>
    <t>Keysha Ananda Frederica</t>
  </si>
  <si>
    <t>0073169908</t>
  </si>
  <si>
    <t>2788</t>
  </si>
  <si>
    <t>Gita Ayu Febrianti</t>
  </si>
  <si>
    <t>0073662436</t>
  </si>
  <si>
    <t>2824</t>
  </si>
  <si>
    <t>Isnan Andani Abditama</t>
  </si>
  <si>
    <t>0064285452</t>
  </si>
  <si>
    <t>2860</t>
  </si>
  <si>
    <t>Intan Septiana Ika Putri</t>
  </si>
  <si>
    <t>0076277373</t>
  </si>
  <si>
    <t>2896</t>
  </si>
  <si>
    <t>Endang Pratiwi</t>
  </si>
  <si>
    <t>0063234618</t>
  </si>
  <si>
    <t>2932</t>
  </si>
  <si>
    <t>Diana Lestari</t>
  </si>
  <si>
    <t>0068976880</t>
  </si>
  <si>
    <t>2968</t>
  </si>
  <si>
    <t>Hardayaning Restu Hapsari</t>
  </si>
  <si>
    <t>0056509272</t>
  </si>
  <si>
    <t>2356</t>
  </si>
  <si>
    <t>Fiqy Ariyanto Wibowo</t>
  </si>
  <si>
    <t>0063078156</t>
  </si>
  <si>
    <t>2392</t>
  </si>
  <si>
    <t>Farel Indira Pratama Putra</t>
  </si>
  <si>
    <t>0061952716</t>
  </si>
  <si>
    <t>2428</t>
  </si>
  <si>
    <t>Eno Warisma</t>
  </si>
  <si>
    <t>0063264028</t>
  </si>
  <si>
    <t>2464</t>
  </si>
  <si>
    <t>Fikri Ardeaning Tyas</t>
  </si>
  <si>
    <t>0054820930</t>
  </si>
  <si>
    <t>2500</t>
  </si>
  <si>
    <t>Ezra Faiq Aqil</t>
  </si>
  <si>
    <t>0061569874</t>
  </si>
  <si>
    <t>2536</t>
  </si>
  <si>
    <t>Ichtiar Tri Maulana</t>
  </si>
  <si>
    <t>0065010471</t>
  </si>
  <si>
    <t>2572</t>
  </si>
  <si>
    <t>Guntari Puspita Anggreyni</t>
  </si>
  <si>
    <t>0053815978</t>
  </si>
  <si>
    <t>2608</t>
  </si>
  <si>
    <t>Fevsita Meiastyana</t>
  </si>
  <si>
    <t>0056127582</t>
  </si>
  <si>
    <t>2644</t>
  </si>
  <si>
    <t>Herlin Cantika</t>
  </si>
  <si>
    <t>0051452846</t>
  </si>
  <si>
    <t>2031</t>
  </si>
  <si>
    <t>Dwi Andika Indar Riffandy</t>
  </si>
  <si>
    <t>0053815611</t>
  </si>
  <si>
    <t>2069</t>
  </si>
  <si>
    <t>Foriste Sandi Mahardika</t>
  </si>
  <si>
    <t>0046898630</t>
  </si>
  <si>
    <t>2103</t>
  </si>
  <si>
    <t>Fina Mardiana</t>
  </si>
  <si>
    <t>0053577918</t>
  </si>
  <si>
    <t>2139</t>
  </si>
  <si>
    <t>Giska Yelin Grasella</t>
  </si>
  <si>
    <t>0053771868</t>
  </si>
  <si>
    <t>2175</t>
  </si>
  <si>
    <t>Fitri Rahmawati</t>
  </si>
  <si>
    <t>0046196596</t>
  </si>
  <si>
    <t>2211</t>
  </si>
  <si>
    <t>Galih Dian Saputra</t>
  </si>
  <si>
    <t>0052731349</t>
  </si>
  <si>
    <t>2247</t>
  </si>
  <si>
    <t>Esterin Dyah Puspitaloka</t>
  </si>
  <si>
    <t>0046817315</t>
  </si>
  <si>
    <t>2283</t>
  </si>
  <si>
    <t>Isma Dwi Fitriana</t>
  </si>
  <si>
    <t>0052261115</t>
  </si>
  <si>
    <t>2319</t>
  </si>
  <si>
    <t>Erina Wahyu Wulandari</t>
  </si>
  <si>
    <t>0069355079</t>
  </si>
  <si>
    <t>2682</t>
  </si>
  <si>
    <t>Itbal Tata Pradita</t>
  </si>
  <si>
    <t>0066493728</t>
  </si>
  <si>
    <t>2717</t>
  </si>
  <si>
    <t>Guntoro Abdul Aziz</t>
  </si>
  <si>
    <t>0063423078</t>
  </si>
  <si>
    <t>2753</t>
  </si>
  <si>
    <t>Khoirulloh Muhammad Ramadhan</t>
  </si>
  <si>
    <t>0074459101</t>
  </si>
  <si>
    <t>2789</t>
  </si>
  <si>
    <t xml:space="preserve">Innes Al Meida </t>
  </si>
  <si>
    <t>0071090119</t>
  </si>
  <si>
    <t>2825</t>
  </si>
  <si>
    <t>Juliana</t>
  </si>
  <si>
    <t>0067336410</t>
  </si>
  <si>
    <t>2861</t>
  </si>
  <si>
    <t>Kumala Anggina Rizki</t>
  </si>
  <si>
    <t>0063076732</t>
  </si>
  <si>
    <t>2897</t>
  </si>
  <si>
    <t>Fahrani Alila Ramadhina</t>
  </si>
  <si>
    <t>0061496837</t>
  </si>
  <si>
    <t>2933</t>
  </si>
  <si>
    <t>Dina Catur Utami</t>
  </si>
  <si>
    <t>0067417924</t>
  </si>
  <si>
    <t>2969</t>
  </si>
  <si>
    <t>Istia Hafari Nurul Umah</t>
  </si>
  <si>
    <t>0055042083</t>
  </si>
  <si>
    <t>2357</t>
  </si>
  <si>
    <t>Firdi Kurniawan</t>
  </si>
  <si>
    <t>0064999284</t>
  </si>
  <si>
    <t>2393</t>
  </si>
  <si>
    <t>Fariel Ardian Maulana</t>
  </si>
  <si>
    <t>0064139678</t>
  </si>
  <si>
    <t>2429</t>
  </si>
  <si>
    <t>Ferania Salsabela</t>
  </si>
  <si>
    <t>0059612002</t>
  </si>
  <si>
    <t>2465</t>
  </si>
  <si>
    <t>Gita Dwi Vega Novarina</t>
  </si>
  <si>
    <t>0062925107</t>
  </si>
  <si>
    <t>2501</t>
  </si>
  <si>
    <t>Fitri Fatma Fadila</t>
  </si>
  <si>
    <t>0063948267</t>
  </si>
  <si>
    <t>2537</t>
  </si>
  <si>
    <t>Ineza Ilmawati</t>
  </si>
  <si>
    <t>0057842682</t>
  </si>
  <si>
    <t>2573</t>
  </si>
  <si>
    <t>Indra Noviyanto Saputro</t>
  </si>
  <si>
    <t>0062753274</t>
  </si>
  <si>
    <t>2609</t>
  </si>
  <si>
    <t>Galuh Indriana</t>
  </si>
  <si>
    <t>0061545311</t>
  </si>
  <si>
    <t>2645</t>
  </si>
  <si>
    <t>Indra Setiawan</t>
  </si>
  <si>
    <t>0045392177</t>
  </si>
  <si>
    <t>2032</t>
  </si>
  <si>
    <t>Fery Adi Prayogo</t>
  </si>
  <si>
    <t>0055628679</t>
  </si>
  <si>
    <t>2070</t>
  </si>
  <si>
    <t>Frengki Pramudika</t>
  </si>
  <si>
    <t>0034723506</t>
  </si>
  <si>
    <t>2104</t>
  </si>
  <si>
    <t>Fitriana Almahmudhah</t>
  </si>
  <si>
    <t>0046898573</t>
  </si>
  <si>
    <t>2140</t>
  </si>
  <si>
    <t>Hana Pratiwi</t>
  </si>
  <si>
    <t>0053578523</t>
  </si>
  <si>
    <t>2176</t>
  </si>
  <si>
    <t>Gilang Adi Kusuma</t>
  </si>
  <si>
    <t>0053876939</t>
  </si>
  <si>
    <t>2212</t>
  </si>
  <si>
    <t>Galuh Ani Hapsari</t>
  </si>
  <si>
    <t>0047131135</t>
  </si>
  <si>
    <t>2248</t>
  </si>
  <si>
    <t>Fahmi Defi Fonselyanawati</t>
  </si>
  <si>
    <t>0058549987</t>
  </si>
  <si>
    <t>2284</t>
  </si>
  <si>
    <t>Jesica Selviana</t>
  </si>
  <si>
    <t>0047130573</t>
  </si>
  <si>
    <t>2320</t>
  </si>
  <si>
    <t>Gabrelie Herlando</t>
  </si>
  <si>
    <t>0072214453</t>
  </si>
  <si>
    <t>2683</t>
  </si>
  <si>
    <t>Muhammad Iqbal Fadhillah</t>
  </si>
  <si>
    <t>0072731216</t>
  </si>
  <si>
    <t>2718</t>
  </si>
  <si>
    <t>Harie Jiwangga</t>
  </si>
  <si>
    <t>0075104349</t>
  </si>
  <si>
    <t>2754</t>
  </si>
  <si>
    <t>Levina Nathaniela Callista</t>
  </si>
  <si>
    <t>0062688744</t>
  </si>
  <si>
    <t>2790</t>
  </si>
  <si>
    <t>Luthfia Ramadhani</t>
  </si>
  <si>
    <t>0065214897</t>
  </si>
  <si>
    <t>2826</t>
  </si>
  <si>
    <t>Kiki Dyah Ayu Pramesti</t>
  </si>
  <si>
    <t>0077319399</t>
  </si>
  <si>
    <t>2862</t>
  </si>
  <si>
    <t>Laurana Ergiva Meilani</t>
  </si>
  <si>
    <t>0063048492</t>
  </si>
  <si>
    <t>2898</t>
  </si>
  <si>
    <t>Feriska Nadya Anantasya</t>
  </si>
  <si>
    <t>0076377684</t>
  </si>
  <si>
    <t>2934</t>
  </si>
  <si>
    <t>Ega Inarni</t>
  </si>
  <si>
    <t>0075627153</t>
  </si>
  <si>
    <t>2970</t>
  </si>
  <si>
    <t>Juniko Alan Widiyanto</t>
  </si>
  <si>
    <t>0066635954</t>
  </si>
  <si>
    <t>2358</t>
  </si>
  <si>
    <t>Gilang Bimo Setiyawan</t>
  </si>
  <si>
    <t>0061722316</t>
  </si>
  <si>
    <t>2394</t>
  </si>
  <si>
    <t>Gigih Rahmat Pamungkas</t>
  </si>
  <si>
    <t>0063240560</t>
  </si>
  <si>
    <t>2430</t>
  </si>
  <si>
    <t>Fitria Sri Rejeki</t>
  </si>
  <si>
    <t>0066864232</t>
  </si>
  <si>
    <t>2466</t>
  </si>
  <si>
    <t>Ida Siti Fatimah</t>
  </si>
  <si>
    <t>0061146420</t>
  </si>
  <si>
    <t>2502</t>
  </si>
  <si>
    <t>Hanifah Muhammida</t>
  </si>
  <si>
    <t>0053575139</t>
  </si>
  <si>
    <t>2538</t>
  </si>
  <si>
    <t>Jenniefer Maharani</t>
  </si>
  <si>
    <t>0066598233</t>
  </si>
  <si>
    <t>2574</t>
  </si>
  <si>
    <t>Inka Anindya Putri</t>
  </si>
  <si>
    <t>0052342996</t>
  </si>
  <si>
    <t>2610</t>
  </si>
  <si>
    <t>Hanifah Nurul Ramadhani</t>
  </si>
  <si>
    <t>0051127838</t>
  </si>
  <si>
    <t>2646</t>
  </si>
  <si>
    <t>Istiya Yuliyana</t>
  </si>
  <si>
    <t>0047193410</t>
  </si>
  <si>
    <t>2033</t>
  </si>
  <si>
    <t>Gymnastiar Tegar Rizqiana</t>
  </si>
  <si>
    <t>0053479335</t>
  </si>
  <si>
    <t>2071</t>
  </si>
  <si>
    <t>Ivan Saputro</t>
  </si>
  <si>
    <t>0046896284</t>
  </si>
  <si>
    <t>2105</t>
  </si>
  <si>
    <t>Helia Setia Putri</t>
  </si>
  <si>
    <t>0052553907</t>
  </si>
  <si>
    <t>2141</t>
  </si>
  <si>
    <t>Ilham Yusa Mahendra</t>
  </si>
  <si>
    <t>0048447864</t>
  </si>
  <si>
    <t>2177</t>
  </si>
  <si>
    <t>Heayasti Gama Maharani Galuh Saputri</t>
  </si>
  <si>
    <t>0053815615</t>
  </si>
  <si>
    <t>2213</t>
  </si>
  <si>
    <t>Icha Lestary</t>
  </si>
  <si>
    <t>0056292562</t>
  </si>
  <si>
    <t>2249</t>
  </si>
  <si>
    <t>Gysta Tri Rahayu</t>
  </si>
  <si>
    <t>0046898793</t>
  </si>
  <si>
    <t>2285</t>
  </si>
  <si>
    <t>Juwita Widhi Wistara</t>
  </si>
  <si>
    <t>0053571330</t>
  </si>
  <si>
    <t>2321</t>
  </si>
  <si>
    <t>Galuh Sekar Pangesthi</t>
  </si>
  <si>
    <t>0072415000</t>
  </si>
  <si>
    <t>2684</t>
  </si>
  <si>
    <t>Muhammad Rifa'I Roby Yansah</t>
  </si>
  <si>
    <t>0063529459</t>
  </si>
  <si>
    <t>2719</t>
  </si>
  <si>
    <t>Hengki Adi Pratama</t>
  </si>
  <si>
    <t>0087657463</t>
  </si>
  <si>
    <t>2755</t>
  </si>
  <si>
    <t>Lilo Wicaksono</t>
  </si>
  <si>
    <t>0063999800</t>
  </si>
  <si>
    <t>2791</t>
  </si>
  <si>
    <t>Maylesa Nur Fadhila</t>
  </si>
  <si>
    <t>0074495914</t>
  </si>
  <si>
    <t>2827</t>
  </si>
  <si>
    <t>Marshela Nophiya</t>
  </si>
  <si>
    <t>0079417205</t>
  </si>
  <si>
    <t>2863</t>
  </si>
  <si>
    <t>Luna Anisa Vallentina</t>
  </si>
  <si>
    <t>0076629024</t>
  </si>
  <si>
    <t>2899</t>
  </si>
  <si>
    <t>Fiki Anesya Khasanah Ayu</t>
  </si>
  <si>
    <t>0074485613</t>
  </si>
  <si>
    <t>2935</t>
  </si>
  <si>
    <t>Fitri Wardani</t>
  </si>
  <si>
    <t>0069733890</t>
  </si>
  <si>
    <t>2971</t>
  </si>
  <si>
    <t>Lalin Frasiska Cahya Utami</t>
  </si>
  <si>
    <t>0052613555</t>
  </si>
  <si>
    <t>2359</t>
  </si>
  <si>
    <t>Ilham Dwi Pangestu</t>
  </si>
  <si>
    <t>0068602998</t>
  </si>
  <si>
    <t>2395</t>
  </si>
  <si>
    <t>Habif Nur Fikri</t>
  </si>
  <si>
    <t>0047535614</t>
  </si>
  <si>
    <t>2431</t>
  </si>
  <si>
    <t>Hera Nur Rahma</t>
  </si>
  <si>
    <t>0051474528</t>
  </si>
  <si>
    <t>2467</t>
  </si>
  <si>
    <t>Kafita</t>
  </si>
  <si>
    <t>0062640688</t>
  </si>
  <si>
    <t>2503</t>
  </si>
  <si>
    <t>Indi Citra Anggraini</t>
  </si>
  <si>
    <t>0046196754</t>
  </si>
  <si>
    <t>2539</t>
  </si>
  <si>
    <t>Kholipah Tri Suci</t>
  </si>
  <si>
    <t>0057516264</t>
  </si>
  <si>
    <t>2575</t>
  </si>
  <si>
    <t>Jonathan Adrian Kian</t>
  </si>
  <si>
    <t>0076816491</t>
  </si>
  <si>
    <t>2611</t>
  </si>
  <si>
    <t>Herliana</t>
  </si>
  <si>
    <t>0053124755</t>
  </si>
  <si>
    <t>2647</t>
  </si>
  <si>
    <t>Karmila Putri</t>
  </si>
  <si>
    <t>0053815758</t>
  </si>
  <si>
    <t>2034</t>
  </si>
  <si>
    <t>Haidar Hanif</t>
  </si>
  <si>
    <t>0053490068</t>
  </si>
  <si>
    <t>2072</t>
  </si>
  <si>
    <t>Juzuf Ramlan Hardiyanto</t>
  </si>
  <si>
    <t>0053578393</t>
  </si>
  <si>
    <t>2106</t>
  </si>
  <si>
    <t>Indah Fitriani</t>
  </si>
  <si>
    <t>0053575318</t>
  </si>
  <si>
    <t>2142</t>
  </si>
  <si>
    <t>Inahya Warohmah</t>
  </si>
  <si>
    <t>0058991246</t>
  </si>
  <si>
    <t>2178</t>
  </si>
  <si>
    <t>Khoirul Nisa Tri Utami</t>
  </si>
  <si>
    <t>0055304954</t>
  </si>
  <si>
    <t>2214</t>
  </si>
  <si>
    <t>Indah Cahyani</t>
  </si>
  <si>
    <t>0053578241</t>
  </si>
  <si>
    <t>2250</t>
  </si>
  <si>
    <t>Hanafia Dita Dwi Aryani</t>
  </si>
  <si>
    <t>0053141657</t>
  </si>
  <si>
    <t>2286</t>
  </si>
  <si>
    <t>Khaila Dewi Atika</t>
  </si>
  <si>
    <t>0046898456</t>
  </si>
  <si>
    <t>2322</t>
  </si>
  <si>
    <t>Indah Dwi Lestari</t>
  </si>
  <si>
    <t>0066433349</t>
  </si>
  <si>
    <t>2685</t>
  </si>
  <si>
    <t>Nasrulloh Fan Makruf</t>
  </si>
  <si>
    <t>0068712940</t>
  </si>
  <si>
    <t>2720</t>
  </si>
  <si>
    <t>Idris Marzuki</t>
  </si>
  <si>
    <t>0069715001</t>
  </si>
  <si>
    <t>2756</t>
  </si>
  <si>
    <t>Meita Lestari</t>
  </si>
  <si>
    <t>0076734219</t>
  </si>
  <si>
    <t>2792</t>
  </si>
  <si>
    <t>Nabilla Citra Aditama</t>
  </si>
  <si>
    <t>0064169601</t>
  </si>
  <si>
    <t>2828</t>
  </si>
  <si>
    <t>Medika Nur Aisyah</t>
  </si>
  <si>
    <t>0078433431</t>
  </si>
  <si>
    <t>2864</t>
  </si>
  <si>
    <t>Nafiza Nugrahania</t>
  </si>
  <si>
    <t>0074313586</t>
  </si>
  <si>
    <t>2900</t>
  </si>
  <si>
    <t>Hellena Regita Julia Sari</t>
  </si>
  <si>
    <t>0072933552</t>
  </si>
  <si>
    <t>2936</t>
  </si>
  <si>
    <t>Gabriel Elynska Nessa</t>
  </si>
  <si>
    <t>0073142884</t>
  </si>
  <si>
    <t>2972</t>
  </si>
  <si>
    <t>Lucky Tri Bastian</t>
  </si>
  <si>
    <t>0063843983</t>
  </si>
  <si>
    <t>2360</t>
  </si>
  <si>
    <t>Imam Ali Sulfi Jayadi</t>
  </si>
  <si>
    <t>0058736170</t>
  </si>
  <si>
    <t>2396</t>
  </si>
  <si>
    <t>Ilham Nurhasanto</t>
  </si>
  <si>
    <t>0066377035</t>
  </si>
  <si>
    <t>2432</t>
  </si>
  <si>
    <t>Isnan Fahrul Primanda</t>
  </si>
  <si>
    <t>0075102709</t>
  </si>
  <si>
    <t>2468</t>
  </si>
  <si>
    <t>Marthino Abi Tri Pambudi</t>
  </si>
  <si>
    <t>0059848997</t>
  </si>
  <si>
    <t>2504</t>
  </si>
  <si>
    <t>Latif Himawan</t>
  </si>
  <si>
    <t>0069836711</t>
  </si>
  <si>
    <t>2540</t>
  </si>
  <si>
    <t>Linda Wian Aprilia</t>
  </si>
  <si>
    <t>0064024316</t>
  </si>
  <si>
    <t>2576</t>
  </si>
  <si>
    <t>Kurnia Maharani</t>
  </si>
  <si>
    <t>0059408950</t>
  </si>
  <si>
    <t>2612</t>
  </si>
  <si>
    <t>Isnaini Ramadhani</t>
  </si>
  <si>
    <t>0052627042</t>
  </si>
  <si>
    <t>2648</t>
  </si>
  <si>
    <t>Latifah Nurviya</t>
  </si>
  <si>
    <t>0055690610</t>
  </si>
  <si>
    <t>2035</t>
  </si>
  <si>
    <t>Indi Riyanti</t>
  </si>
  <si>
    <t>0056967795</t>
  </si>
  <si>
    <t>2073</t>
  </si>
  <si>
    <t>Khoirul Iksan Maulana</t>
  </si>
  <si>
    <t>0047130534</t>
  </si>
  <si>
    <t>2107</t>
  </si>
  <si>
    <t>Iqbal Ahmad Dani</t>
  </si>
  <si>
    <t>0047262279</t>
  </si>
  <si>
    <t>2143</t>
  </si>
  <si>
    <t>Intan Puspitashari</t>
  </si>
  <si>
    <t>0042937418</t>
  </si>
  <si>
    <t>2179</t>
  </si>
  <si>
    <t>Kurniati Handayani</t>
  </si>
  <si>
    <t>0049350132</t>
  </si>
  <si>
    <t>2215</t>
  </si>
  <si>
    <t>Julia Ayu Kartika Sari</t>
  </si>
  <si>
    <t>0053575298</t>
  </si>
  <si>
    <t>2251</t>
  </si>
  <si>
    <t>Iecha Desty Paramitha</t>
  </si>
  <si>
    <t>0047130992</t>
  </si>
  <si>
    <t>2287</t>
  </si>
  <si>
    <t>Khoirriyah</t>
  </si>
  <si>
    <t>0053479659</t>
  </si>
  <si>
    <t>2323</t>
  </si>
  <si>
    <t>Indriana Wijayanti</t>
  </si>
  <si>
    <t>0079270457</t>
  </si>
  <si>
    <t>2686</t>
  </si>
  <si>
    <t>Nonit Ilham Ramadani</t>
  </si>
  <si>
    <t>0069153361</t>
  </si>
  <si>
    <t>2721</t>
  </si>
  <si>
    <t>Irsyad Sobari</t>
  </si>
  <si>
    <t>0075488638</t>
  </si>
  <si>
    <t>2757</t>
  </si>
  <si>
    <t>Muhammad Rifki Saputra</t>
  </si>
  <si>
    <t>0063110557</t>
  </si>
  <si>
    <t>2793</t>
  </si>
  <si>
    <t>Nayla Amelia Rosita</t>
  </si>
  <si>
    <t>0079472210</t>
  </si>
  <si>
    <t>2829</t>
  </si>
  <si>
    <t>Nadya Titian Ramadhani</t>
  </si>
  <si>
    <t>0077931901</t>
  </si>
  <si>
    <t>2865</t>
  </si>
  <si>
    <t>Naulia Rizki Prastika</t>
  </si>
  <si>
    <t>0069006026</t>
  </si>
  <si>
    <t>2901</t>
  </si>
  <si>
    <t>Intan Nia Riska Rista</t>
  </si>
  <si>
    <t>0072728316</t>
  </si>
  <si>
    <t>2937</t>
  </si>
  <si>
    <t>Gita Pratiwi</t>
  </si>
  <si>
    <t>0064316847</t>
  </si>
  <si>
    <t>2973</t>
  </si>
  <si>
    <t>Muhammad Ramadhani</t>
  </si>
  <si>
    <t>0067292633</t>
  </si>
  <si>
    <t>2361</t>
  </si>
  <si>
    <t>Ivandra Adithya Saputro</t>
  </si>
  <si>
    <t>0041066673</t>
  </si>
  <si>
    <t>2397</t>
  </si>
  <si>
    <t>Irvan Abdu Izza</t>
  </si>
  <si>
    <t>0063839543</t>
  </si>
  <si>
    <t>2433</t>
  </si>
  <si>
    <t>Marsya Patricia Oktaviani Putri</t>
  </si>
  <si>
    <t>0067658933</t>
  </si>
  <si>
    <t>2469</t>
  </si>
  <si>
    <t>Meyla Zulfa Khairunisa</t>
  </si>
  <si>
    <t>0065651256</t>
  </si>
  <si>
    <t>2505</t>
  </si>
  <si>
    <t>Meita Annisa Wulandari</t>
  </si>
  <si>
    <t>0068895456</t>
  </si>
  <si>
    <t>2541</t>
  </si>
  <si>
    <t>Marga Litha Dwi Aprilia</t>
  </si>
  <si>
    <t>0046726844</t>
  </si>
  <si>
    <t>2577</t>
  </si>
  <si>
    <t>Lisa Sintya Wulan Ningsih</t>
  </si>
  <si>
    <t>0068720087</t>
  </si>
  <si>
    <t>2613</t>
  </si>
  <si>
    <t>Jovanka Aulia Hesti Eryanto</t>
  </si>
  <si>
    <t>0062015184</t>
  </si>
  <si>
    <t>2649</t>
  </si>
  <si>
    <t>Luiski Firnandia</t>
  </si>
  <si>
    <t>0051870180</t>
  </si>
  <si>
    <t>2036</t>
  </si>
  <si>
    <t>Iqfan Alfiansa</t>
  </si>
  <si>
    <t>0059415480</t>
  </si>
  <si>
    <t>2074</t>
  </si>
  <si>
    <t>Lathif Sholichin</t>
  </si>
  <si>
    <t>0054750159</t>
  </si>
  <si>
    <t>2108</t>
  </si>
  <si>
    <t>Kurniawati</t>
  </si>
  <si>
    <t>0047849002</t>
  </si>
  <si>
    <t>2144</t>
  </si>
  <si>
    <t>Jihan Pahera Alpia</t>
  </si>
  <si>
    <t>0057995791</t>
  </si>
  <si>
    <t>2180</t>
  </si>
  <si>
    <t>Lina Ayu Putri</t>
  </si>
  <si>
    <t>0053577855</t>
  </si>
  <si>
    <t>2216</t>
  </si>
  <si>
    <t>Lami Karisma Lestari</t>
  </si>
  <si>
    <t>0053578294</t>
  </si>
  <si>
    <t>2252</t>
  </si>
  <si>
    <t>Indah Nurnandani</t>
  </si>
  <si>
    <t>0048975770</t>
  </si>
  <si>
    <t>2288</t>
  </si>
  <si>
    <t>Lia Indriani</t>
  </si>
  <si>
    <t>0052731612</t>
  </si>
  <si>
    <t>2324</t>
  </si>
  <si>
    <t>Khanas Frilian Awwaliana Zahra</t>
  </si>
  <si>
    <t>0042932368</t>
  </si>
  <si>
    <t>2687</t>
  </si>
  <si>
    <t>Prada Wulandari</t>
  </si>
  <si>
    <t>0071377797</t>
  </si>
  <si>
    <t>2722</t>
  </si>
  <si>
    <t>Iyan Yoga Pratama</t>
  </si>
  <si>
    <t>0079413852</t>
  </si>
  <si>
    <t>2758</t>
  </si>
  <si>
    <t>Nasifa Nurul Fadhila</t>
  </si>
  <si>
    <t>0069037970</t>
  </si>
  <si>
    <t>2794</t>
  </si>
  <si>
    <t>Nico Zidane Siswinata</t>
  </si>
  <si>
    <t>3078817781</t>
  </si>
  <si>
    <t>2830</t>
  </si>
  <si>
    <t>Naila Putri Ayuningtyas</t>
  </si>
  <si>
    <t>0062275362</t>
  </si>
  <si>
    <t>2866</t>
  </si>
  <si>
    <t>Novi Wulandari</t>
  </si>
  <si>
    <t>0066204305</t>
  </si>
  <si>
    <t>2902</t>
  </si>
  <si>
    <t>Jeni Nir Fatimah</t>
  </si>
  <si>
    <t>0078259244</t>
  </si>
  <si>
    <t>2938</t>
  </si>
  <si>
    <t>Hilda Pramesti Kusumawardani</t>
  </si>
  <si>
    <t>0076385499</t>
  </si>
  <si>
    <t>2974</t>
  </si>
  <si>
    <t>Nandia Tri Subekti</t>
  </si>
  <si>
    <t>0064995117</t>
  </si>
  <si>
    <t>2362</t>
  </si>
  <si>
    <t>Jidana Rahmadani</t>
  </si>
  <si>
    <t>0066912619</t>
  </si>
  <si>
    <t>2398</t>
  </si>
  <si>
    <t>Jeni Adi Pamungkas</t>
  </si>
  <si>
    <t>0055922791</t>
  </si>
  <si>
    <t>2434</t>
  </si>
  <si>
    <t>Meyla Nisrina Nurmalitasari</t>
  </si>
  <si>
    <t>0054402838</t>
  </si>
  <si>
    <t>2470</t>
  </si>
  <si>
    <t>Muhammad Rafli Aditya Pratama</t>
  </si>
  <si>
    <t>0063648912</t>
  </si>
  <si>
    <t>2506</t>
  </si>
  <si>
    <t>Miftahuddin Alif</t>
  </si>
  <si>
    <t>0056369408</t>
  </si>
  <si>
    <t>2542</t>
  </si>
  <si>
    <t>Mohammad Apriansyah</t>
  </si>
  <si>
    <t>0056377683</t>
  </si>
  <si>
    <t>2578</t>
  </si>
  <si>
    <t>Martina Damayanti</t>
  </si>
  <si>
    <t>0064993394</t>
  </si>
  <si>
    <t>2614</t>
  </si>
  <si>
    <t>Larasati</t>
  </si>
  <si>
    <t>0065646078</t>
  </si>
  <si>
    <t>2650</t>
  </si>
  <si>
    <t>Lusiana Zelika</t>
  </si>
  <si>
    <t>0046898459</t>
  </si>
  <si>
    <t>2037</t>
  </si>
  <si>
    <t>Joko Setiawan</t>
  </si>
  <si>
    <t>0053578296</t>
  </si>
  <si>
    <t>2075</t>
  </si>
  <si>
    <t>Muhammad Atho'Ur Rahman</t>
  </si>
  <si>
    <t>0053575248</t>
  </si>
  <si>
    <t>2109</t>
  </si>
  <si>
    <t>Listi Amelia Yuniarti</t>
  </si>
  <si>
    <t>0044553372</t>
  </si>
  <si>
    <t>2145</t>
  </si>
  <si>
    <t>Khrismonika Ariyani</t>
  </si>
  <si>
    <t>0047023896</t>
  </si>
  <si>
    <t>2181</t>
  </si>
  <si>
    <t>Melycha Melodia Wati</t>
  </si>
  <si>
    <t>0043096777</t>
  </si>
  <si>
    <t>2217</t>
  </si>
  <si>
    <t>Melati Indah Permatasari</t>
  </si>
  <si>
    <t>0056469909</t>
  </si>
  <si>
    <t>2253</t>
  </si>
  <si>
    <t>Ines Rachmania</t>
  </si>
  <si>
    <t>0046898682</t>
  </si>
  <si>
    <t>2289</t>
  </si>
  <si>
    <t>Lilik Irawati</t>
  </si>
  <si>
    <t>0046898318</t>
  </si>
  <si>
    <t>2325</t>
  </si>
  <si>
    <t>Livia Destiana</t>
  </si>
  <si>
    <t>0055910492</t>
  </si>
  <si>
    <t>2688</t>
  </si>
  <si>
    <t>Pratama Yusuf Faqih Abbrori</t>
  </si>
  <si>
    <t>0064460076</t>
  </si>
  <si>
    <t>2723</t>
  </si>
  <si>
    <t>Kales Irfan Rahmadika</t>
  </si>
  <si>
    <t>0071214754</t>
  </si>
  <si>
    <t>2759</t>
  </si>
  <si>
    <t>Nayshella Adinda Febrianna</t>
  </si>
  <si>
    <t>0078733386</t>
  </si>
  <si>
    <t>2795</t>
  </si>
  <si>
    <t>Novi Nianda Putri</t>
  </si>
  <si>
    <t>0068308665</t>
  </si>
  <si>
    <t>2831</t>
  </si>
  <si>
    <t>Naim Fitriani</t>
  </si>
  <si>
    <t>0065401037</t>
  </si>
  <si>
    <t>2867</t>
  </si>
  <si>
    <t>Nuraiza Malika Alfathia</t>
  </si>
  <si>
    <t>0074934641</t>
  </si>
  <si>
    <t>2903</t>
  </si>
  <si>
    <t>Julia Alifia Kaila Kholisa</t>
  </si>
  <si>
    <t>0072358763</t>
  </si>
  <si>
    <t>2939</t>
  </si>
  <si>
    <t>Icha Nur Febiyan</t>
  </si>
  <si>
    <t>0066964543</t>
  </si>
  <si>
    <t>2975</t>
  </si>
  <si>
    <t>Nova Arrum Widhiastuti</t>
  </si>
  <si>
    <t>0069708388</t>
  </si>
  <si>
    <t>2363</t>
  </si>
  <si>
    <t>Kalam Salsabila</t>
  </si>
  <si>
    <t>0066274283</t>
  </si>
  <si>
    <t>2399</t>
  </si>
  <si>
    <t>Julian Lumintu</t>
  </si>
  <si>
    <t>0086534489</t>
  </si>
  <si>
    <t>2435</t>
  </si>
  <si>
    <t>Muhamad Gunawan Kipli</t>
  </si>
  <si>
    <t>0051538692</t>
  </si>
  <si>
    <t>2471</t>
  </si>
  <si>
    <t>Muhammad Septianu Ramdhani</t>
  </si>
  <si>
    <t>0055937067</t>
  </si>
  <si>
    <t>2507</t>
  </si>
  <si>
    <t>Muhammad Rizal As Sidiq</t>
  </si>
  <si>
    <t>0067678486</t>
  </si>
  <si>
    <t>2543</t>
  </si>
  <si>
    <t>Mutiara Anisa Yasin</t>
  </si>
  <si>
    <t>0060230333</t>
  </si>
  <si>
    <t>2579</t>
  </si>
  <si>
    <t>Meymuna Ayu Ashara</t>
  </si>
  <si>
    <t>0058168583</t>
  </si>
  <si>
    <t>2615</t>
  </si>
  <si>
    <t>Lisnia Mulya Ramadani</t>
  </si>
  <si>
    <t>0061370579</t>
  </si>
  <si>
    <t>2651</t>
  </si>
  <si>
    <t>Melinda Yulandika Putri</t>
  </si>
  <si>
    <t>0049419418</t>
  </si>
  <si>
    <t>2038</t>
  </si>
  <si>
    <t>Kumara Anggar Aditia</t>
  </si>
  <si>
    <t>0053577920</t>
  </si>
  <si>
    <t>2076</t>
  </si>
  <si>
    <t>Pramuditya Egi Saputra</t>
  </si>
  <si>
    <t>0054013813</t>
  </si>
  <si>
    <t>2110</t>
  </si>
  <si>
    <t>Marilla Dwi Viani</t>
  </si>
  <si>
    <t>0044151041</t>
  </si>
  <si>
    <t>2146</t>
  </si>
  <si>
    <t>Mila Rosita Dewi</t>
  </si>
  <si>
    <t>0053816014</t>
  </si>
  <si>
    <t>2182</t>
  </si>
  <si>
    <t>Muhamad Robby</t>
  </si>
  <si>
    <t>0053479657</t>
  </si>
  <si>
    <t>2218</t>
  </si>
  <si>
    <t>Nathasya Santika Putri</t>
  </si>
  <si>
    <t>0054755199</t>
  </si>
  <si>
    <t>2254</t>
  </si>
  <si>
    <t>Lintang Nurjanah</t>
  </si>
  <si>
    <t>0053815931</t>
  </si>
  <si>
    <t>2290</t>
  </si>
  <si>
    <t>Margarretha Widhianty Esaningtyas</t>
  </si>
  <si>
    <t>0053815612</t>
  </si>
  <si>
    <t>2326</t>
  </si>
  <si>
    <t>Merliana Davinda</t>
  </si>
  <si>
    <t>0065137558</t>
  </si>
  <si>
    <t>2689</t>
  </si>
  <si>
    <t>Prayit Saputra</t>
  </si>
  <si>
    <t>0069955985</t>
  </si>
  <si>
    <t>2724</t>
  </si>
  <si>
    <t>Levi Setiawan</t>
  </si>
  <si>
    <t>0071596918</t>
  </si>
  <si>
    <t>2760</t>
  </si>
  <si>
    <t>Nurlina Fitriani</t>
  </si>
  <si>
    <t>0061325022</t>
  </si>
  <si>
    <t>2796</t>
  </si>
  <si>
    <t>Nur Amalina Adzhani</t>
  </si>
  <si>
    <t>0073189047</t>
  </si>
  <si>
    <t>2832</t>
  </si>
  <si>
    <t>Naztwa Neyscilla Putri</t>
  </si>
  <si>
    <t>0075640925</t>
  </si>
  <si>
    <t>2868</t>
  </si>
  <si>
    <t>Pipin Uswatun Nisa</t>
  </si>
  <si>
    <t>0075400856</t>
  </si>
  <si>
    <t>2904</t>
  </si>
  <si>
    <t>Lucky Alamsyah</t>
  </si>
  <si>
    <t>0071441262</t>
  </si>
  <si>
    <t>2940</t>
  </si>
  <si>
    <t>Indriana Nova Handayani</t>
  </si>
  <si>
    <t>0073129035</t>
  </si>
  <si>
    <t>2976</t>
  </si>
  <si>
    <t>Prima Ardya Regita Cahyani</t>
  </si>
  <si>
    <t>0053771699</t>
  </si>
  <si>
    <t>2364</t>
  </si>
  <si>
    <t>Kun Solihan Fidin</t>
  </si>
  <si>
    <t>0061803865</t>
  </si>
  <si>
    <t>2400</t>
  </si>
  <si>
    <t>Kholil Fathurohman</t>
  </si>
  <si>
    <t>0061398508</t>
  </si>
  <si>
    <t>2436</t>
  </si>
  <si>
    <t>Muhammad Rizal Nuur Ady</t>
  </si>
  <si>
    <t>0052988606</t>
  </si>
  <si>
    <t>2472</t>
  </si>
  <si>
    <t>Nacha Ariya Dhisesa</t>
  </si>
  <si>
    <t>0063943040</t>
  </si>
  <si>
    <t>2508</t>
  </si>
  <si>
    <t>Natasya Candra Agustin</t>
  </si>
  <si>
    <t>0054171003</t>
  </si>
  <si>
    <t>2544</t>
  </si>
  <si>
    <t>Nadia Dwi Rahayu</t>
  </si>
  <si>
    <t>0053469498</t>
  </si>
  <si>
    <t>2580</t>
  </si>
  <si>
    <t>Nabila Angellina Audry Yasmine</t>
  </si>
  <si>
    <t>0057759993</t>
  </si>
  <si>
    <t>2616</t>
  </si>
  <si>
    <t>Mayse Gea Ananda</t>
  </si>
  <si>
    <t>0064092403</t>
  </si>
  <si>
    <t>2652</t>
  </si>
  <si>
    <t>Muthia Putri Eka Lavianto</t>
  </si>
  <si>
    <t>0047193411</t>
  </si>
  <si>
    <t>2039</t>
  </si>
  <si>
    <t>Lintang Dita Pratama</t>
  </si>
  <si>
    <t>0054817529</t>
  </si>
  <si>
    <t>2077</t>
  </si>
  <si>
    <t>Rahmat Herlan Fadilah</t>
  </si>
  <si>
    <t>0055919995</t>
  </si>
  <si>
    <t>2111</t>
  </si>
  <si>
    <t>Marisa Amelia Puspita</t>
  </si>
  <si>
    <t>0046896467</t>
  </si>
  <si>
    <t>2147</t>
  </si>
  <si>
    <t>Muhammad Yusuf</t>
  </si>
  <si>
    <t>0053575348</t>
  </si>
  <si>
    <t>2183</t>
  </si>
  <si>
    <t>Muhammad Marcello Syailendra Billal</t>
  </si>
  <si>
    <t>0049172556</t>
  </si>
  <si>
    <t>2219</t>
  </si>
  <si>
    <t>Nirmala Eva Salzabila</t>
  </si>
  <si>
    <t>0042932632</t>
  </si>
  <si>
    <t>2255</t>
  </si>
  <si>
    <t>Lusiana Tri Widiastuti</t>
  </si>
  <si>
    <t>0053479650</t>
  </si>
  <si>
    <t>2291</t>
  </si>
  <si>
    <t>Mia Tiyas Riani</t>
  </si>
  <si>
    <t>0053578585</t>
  </si>
  <si>
    <t>2327</t>
  </si>
  <si>
    <t>Mutiara Salsabilla Pramoda Wardani</t>
  </si>
  <si>
    <t>0069635900</t>
  </si>
  <si>
    <t>2690</t>
  </si>
  <si>
    <t>Rama Ishaq Al Fihry</t>
  </si>
  <si>
    <t>0068785759</t>
  </si>
  <si>
    <t>2725</t>
  </si>
  <si>
    <t>Luthfi Adni Muslimin</t>
  </si>
  <si>
    <t>0069169898</t>
  </si>
  <si>
    <t>2761</t>
  </si>
  <si>
    <t>Okta Damayanti</t>
  </si>
  <si>
    <t>0071614295</t>
  </si>
  <si>
    <t>2797</t>
  </si>
  <si>
    <t>Refany Agnesia Lanis Juniar</t>
  </si>
  <si>
    <t>0074080034</t>
  </si>
  <si>
    <t>2833</t>
  </si>
  <si>
    <t>Nehan Jilan Hanifah</t>
  </si>
  <si>
    <t>0063515199</t>
  </si>
  <si>
    <t>2869</t>
  </si>
  <si>
    <t>Putri Sekar Arum</t>
  </si>
  <si>
    <t>0071713422</t>
  </si>
  <si>
    <t>2905</t>
  </si>
  <si>
    <t>Meilani Janatul Khoiriah</t>
  </si>
  <si>
    <t>0072685700</t>
  </si>
  <si>
    <t>2941</t>
  </si>
  <si>
    <t>Jilan Huriyah</t>
  </si>
  <si>
    <t>0072236192</t>
  </si>
  <si>
    <t>2977</t>
  </si>
  <si>
    <t>Renata Vindi Astuti</t>
  </si>
  <si>
    <t>0068140647</t>
  </si>
  <si>
    <t>2365</t>
  </si>
  <si>
    <t>Lafhinsyach Al Faruq Imani</t>
  </si>
  <si>
    <t>0053772875</t>
  </si>
  <si>
    <t>2401</t>
  </si>
  <si>
    <t>Laksana Agung Prastyo</t>
  </si>
  <si>
    <t>0061938982</t>
  </si>
  <si>
    <t>2437</t>
  </si>
  <si>
    <t>Naila Faiza Ramadhani</t>
  </si>
  <si>
    <t>0079336039</t>
  </si>
  <si>
    <t>2473</t>
  </si>
  <si>
    <t>Ninuk Betami</t>
  </si>
  <si>
    <t>0061260757</t>
  </si>
  <si>
    <t>2509</t>
  </si>
  <si>
    <t>Naya Esa Cahyani</t>
  </si>
  <si>
    <t>0062113402</t>
  </si>
  <si>
    <t>2545</t>
  </si>
  <si>
    <t>Nina Ayu Belinda Sari</t>
  </si>
  <si>
    <t>0067753821</t>
  </si>
  <si>
    <t>2581</t>
  </si>
  <si>
    <t>Nadya Mey Radita</t>
  </si>
  <si>
    <t>0054068492</t>
  </si>
  <si>
    <t>2617</t>
  </si>
  <si>
    <t>Muhammad Arif Vinanda</t>
  </si>
  <si>
    <t>0064093688</t>
  </si>
  <si>
    <t>2653</t>
  </si>
  <si>
    <t>Nadia Citra Dewi</t>
  </si>
  <si>
    <t>0046076431</t>
  </si>
  <si>
    <t>2040</t>
  </si>
  <si>
    <t>Luthfiana Hanifah</t>
  </si>
  <si>
    <t>0056867501</t>
  </si>
  <si>
    <t>2078</t>
  </si>
  <si>
    <t>Rangga Dwy Finanda</t>
  </si>
  <si>
    <t>0046817768</t>
  </si>
  <si>
    <t>2112</t>
  </si>
  <si>
    <t>Mawar Indria Sari</t>
  </si>
  <si>
    <t>0047181076</t>
  </si>
  <si>
    <t>2148</t>
  </si>
  <si>
    <t>Nadhifa Az Zahra Prastikasari</t>
  </si>
  <si>
    <t>0053490069</t>
  </si>
  <si>
    <t>2184</t>
  </si>
  <si>
    <t>Nabila Sabrina</t>
  </si>
  <si>
    <t>0053577907</t>
  </si>
  <si>
    <t>2220</t>
  </si>
  <si>
    <t>Nur Fathimah</t>
  </si>
  <si>
    <t>0056550914</t>
  </si>
  <si>
    <t>2256</t>
  </si>
  <si>
    <t>May Dinar Dwi Mukti</t>
  </si>
  <si>
    <t>0055182081</t>
  </si>
  <si>
    <t>2292</t>
  </si>
  <si>
    <t>Nofa Reptiningsih</t>
  </si>
  <si>
    <t>0054902477</t>
  </si>
  <si>
    <t>2328</t>
  </si>
  <si>
    <t>Nur Lailia Amalia</t>
  </si>
  <si>
    <t>0073277522</t>
  </si>
  <si>
    <t>2691</t>
  </si>
  <si>
    <t>Rasyita Dwi Ariyani</t>
  </si>
  <si>
    <t>0076755628</t>
  </si>
  <si>
    <t>2726</t>
  </si>
  <si>
    <t>Mike Mulyadi</t>
  </si>
  <si>
    <t>0059468728</t>
  </si>
  <si>
    <t>2762</t>
  </si>
  <si>
    <t>Rahmat Gunawan</t>
  </si>
  <si>
    <t>0061878263</t>
  </si>
  <si>
    <t>2798</t>
  </si>
  <si>
    <t>Rendhi Adhi Pramono</t>
  </si>
  <si>
    <t>0076252484</t>
  </si>
  <si>
    <t>2834</t>
  </si>
  <si>
    <t>Nia Selvia Mahdalena</t>
  </si>
  <si>
    <t>0077121267</t>
  </si>
  <si>
    <t>2870</t>
  </si>
  <si>
    <t>Raghesa Putri Pratama</t>
  </si>
  <si>
    <t>0055962104</t>
  </si>
  <si>
    <t>2906</t>
  </si>
  <si>
    <t>Muhammad Raihan</t>
  </si>
  <si>
    <t>0078902001</t>
  </si>
  <si>
    <t>2942</t>
  </si>
  <si>
    <t>Junieva Silvia Putri</t>
  </si>
  <si>
    <t>0061119715</t>
  </si>
  <si>
    <t>2978</t>
  </si>
  <si>
    <t>Renita Dwi Oktaviani</t>
  </si>
  <si>
    <t>0064129716</t>
  </si>
  <si>
    <t>2366</t>
  </si>
  <si>
    <t>Marcellino Andrean</t>
  </si>
  <si>
    <t>0059225776</t>
  </si>
  <si>
    <t>2402</t>
  </si>
  <si>
    <t>Maysha Ivanda</t>
  </si>
  <si>
    <t>0053578342</t>
  </si>
  <si>
    <t>2438</t>
  </si>
  <si>
    <t>Nesa Septiani</t>
  </si>
  <si>
    <t>0064378710</t>
  </si>
  <si>
    <t>2474</t>
  </si>
  <si>
    <t>Nurul Hidayah</t>
  </si>
  <si>
    <t>0061130913</t>
  </si>
  <si>
    <t>2510</t>
  </si>
  <si>
    <t>Nur Aisah</t>
  </si>
  <si>
    <t>0052415256</t>
  </si>
  <si>
    <t>2546</t>
  </si>
  <si>
    <t>Pipit Andraini</t>
  </si>
  <si>
    <t>0066320531</t>
  </si>
  <si>
    <t>2582</t>
  </si>
  <si>
    <t>Nur Hasanah</t>
  </si>
  <si>
    <t>0064547302</t>
  </si>
  <si>
    <t>2618</t>
  </si>
  <si>
    <t>Nabila Rahmadafani Widodo</t>
  </si>
  <si>
    <t>0056385864</t>
  </si>
  <si>
    <t>2654</t>
  </si>
  <si>
    <t>Nia Oktavianti</t>
  </si>
  <si>
    <t>0047362773</t>
  </si>
  <si>
    <t>2041</t>
  </si>
  <si>
    <t>Muhammad Abdul Aziz Alfi Guffront</t>
  </si>
  <si>
    <t>0052704794</t>
  </si>
  <si>
    <t>2079</t>
  </si>
  <si>
    <t>Rheno Chandra Kusuma</t>
  </si>
  <si>
    <t>0057100832</t>
  </si>
  <si>
    <t>2113</t>
  </si>
  <si>
    <t>Miwha Deawati</t>
  </si>
  <si>
    <t>0045815522</t>
  </si>
  <si>
    <t>2149</t>
  </si>
  <si>
    <t>Natasya Amelita Putri</t>
  </si>
  <si>
    <t>0046898308</t>
  </si>
  <si>
    <t>2185</t>
  </si>
  <si>
    <t>Novi Sulistiani</t>
  </si>
  <si>
    <t>0047882457</t>
  </si>
  <si>
    <t>2221</t>
  </si>
  <si>
    <t>Nurul Fatimah Wati</t>
  </si>
  <si>
    <t>0055949071</t>
  </si>
  <si>
    <t>2257</t>
  </si>
  <si>
    <t>Melisa Dwi Lestari</t>
  </si>
  <si>
    <t>0054834311</t>
  </si>
  <si>
    <t>2293</t>
  </si>
  <si>
    <t>Nola Munadian</t>
  </si>
  <si>
    <t>0042932111</t>
  </si>
  <si>
    <t>2329</t>
  </si>
  <si>
    <t>Nusa'Ul Ariena Zulaykah</t>
  </si>
  <si>
    <t>0057794685</t>
  </si>
  <si>
    <t>2692</t>
  </si>
  <si>
    <t>Rendi Bagus Saputro</t>
  </si>
  <si>
    <t>0079334475</t>
  </si>
  <si>
    <t>2727</t>
  </si>
  <si>
    <t>Muhammad Bakhtiar</t>
  </si>
  <si>
    <t>0077660000</t>
  </si>
  <si>
    <t>2763</t>
  </si>
  <si>
    <t>Reiza Setiawan</t>
  </si>
  <si>
    <t>0073880846</t>
  </si>
  <si>
    <t>2799</t>
  </si>
  <si>
    <t>Riva Bunga Novianti</t>
  </si>
  <si>
    <t>0069023979</t>
  </si>
  <si>
    <t>2835</t>
  </si>
  <si>
    <t>Nita Kris Monita Dewi</t>
  </si>
  <si>
    <t>0071247172</t>
  </si>
  <si>
    <t>2871</t>
  </si>
  <si>
    <t>Raihan Kurniawan</t>
  </si>
  <si>
    <t>0064378164</t>
  </si>
  <si>
    <t>2907</t>
  </si>
  <si>
    <t>Nadin Tri Hemanov</t>
  </si>
  <si>
    <t>0064134902</t>
  </si>
  <si>
    <t>2943</t>
  </si>
  <si>
    <t>Marlina Sukawati</t>
  </si>
  <si>
    <t>0061441562</t>
  </si>
  <si>
    <t>2979</t>
  </si>
  <si>
    <t>Reny Widiarma</t>
  </si>
  <si>
    <t>0067457187</t>
  </si>
  <si>
    <t>2367</t>
  </si>
  <si>
    <t>Mohamad Galih Evans Prayoga</t>
  </si>
  <si>
    <t>0062250253</t>
  </si>
  <si>
    <t>2403</t>
  </si>
  <si>
    <t>Muhammad Azis Setiawan</t>
  </si>
  <si>
    <t>0061660089</t>
  </si>
  <si>
    <t>2439</t>
  </si>
  <si>
    <t>Nur Fadila</t>
  </si>
  <si>
    <t>0063739146</t>
  </si>
  <si>
    <t>2475</t>
  </si>
  <si>
    <t>Rahma Ayu Septiana</t>
  </si>
  <si>
    <t>0055660070</t>
  </si>
  <si>
    <t>2511</t>
  </si>
  <si>
    <t>Pury Retno Mutia</t>
  </si>
  <si>
    <t>0061317120</t>
  </si>
  <si>
    <t>2547</t>
  </si>
  <si>
    <t>Rafi Nandana Risqullah</t>
  </si>
  <si>
    <t>0056991820</t>
  </si>
  <si>
    <t>2583</t>
  </si>
  <si>
    <t>Pita Loka Sari</t>
  </si>
  <si>
    <t>0066669581</t>
  </si>
  <si>
    <t>2619</t>
  </si>
  <si>
    <t>Naela Dwi Astuti</t>
  </si>
  <si>
    <t>0053658941</t>
  </si>
  <si>
    <t>2655</t>
  </si>
  <si>
    <t>Peni Dwi Lestari</t>
  </si>
  <si>
    <t>0047742681</t>
  </si>
  <si>
    <t>2042</t>
  </si>
  <si>
    <t>Muhammad Alif Kamaluddin</t>
  </si>
  <si>
    <t>0053490074</t>
  </si>
  <si>
    <t>2080</t>
  </si>
  <si>
    <t>Rivaldo Anang Aldhi Kurniawan</t>
  </si>
  <si>
    <t>0042162629</t>
  </si>
  <si>
    <t>2114</t>
  </si>
  <si>
    <t>Muhammad Amar Fauzan</t>
  </si>
  <si>
    <t>0047125556</t>
  </si>
  <si>
    <t>2150</t>
  </si>
  <si>
    <t>Noval Divi Syaputra</t>
  </si>
  <si>
    <t>0052731716</t>
  </si>
  <si>
    <t>2186</t>
  </si>
  <si>
    <t>Novitri Bekti Jayanti</t>
  </si>
  <si>
    <t>0047078035</t>
  </si>
  <si>
    <t>2222</t>
  </si>
  <si>
    <t>Putri Patimah</t>
  </si>
  <si>
    <t>0046898679</t>
  </si>
  <si>
    <t>2258</t>
  </si>
  <si>
    <t>Nia Riska Novianti</t>
  </si>
  <si>
    <t>0055251918</t>
  </si>
  <si>
    <t>2294</t>
  </si>
  <si>
    <t>Nur Kharisma Aulia Aldika Citra</t>
  </si>
  <si>
    <t>0043342231</t>
  </si>
  <si>
    <t>2330</t>
  </si>
  <si>
    <t>Puput Febriani</t>
  </si>
  <si>
    <t>0073235328</t>
  </si>
  <si>
    <t>2693</t>
  </si>
  <si>
    <t>Reza Angga Saputra</t>
  </si>
  <si>
    <t>0061953610</t>
  </si>
  <si>
    <t>2728</t>
  </si>
  <si>
    <t>Muhammad Nadeem Miftah Nasrullah</t>
  </si>
  <si>
    <t>0089676512</t>
  </si>
  <si>
    <t>2764</t>
  </si>
  <si>
    <t>Rena Antika</t>
  </si>
  <si>
    <t>0065343396</t>
  </si>
  <si>
    <t>2800</t>
  </si>
  <si>
    <t>Rossylia</t>
  </si>
  <si>
    <t>0066889943</t>
  </si>
  <si>
    <t>2836</t>
  </si>
  <si>
    <t>Oktavia Fitriani</t>
  </si>
  <si>
    <t>0072280131</t>
  </si>
  <si>
    <t>2872</t>
  </si>
  <si>
    <t>Retno Cahya Syafira</t>
  </si>
  <si>
    <t>0064961189</t>
  </si>
  <si>
    <t>2908</t>
  </si>
  <si>
    <t>Nasila Dewi Saputri</t>
  </si>
  <si>
    <t>0075891180</t>
  </si>
  <si>
    <t>2944</t>
  </si>
  <si>
    <t>Muna Kurnia Ashari</t>
  </si>
  <si>
    <t>0066459677</t>
  </si>
  <si>
    <t>2980</t>
  </si>
  <si>
    <t>Riska Wahyu Permata Putri</t>
  </si>
  <si>
    <t>0054334775</t>
  </si>
  <si>
    <t>2368</t>
  </si>
  <si>
    <t>Muhammad Catur Aji Pamungkas</t>
  </si>
  <si>
    <t>0065259922</t>
  </si>
  <si>
    <t>2404</t>
  </si>
  <si>
    <t>Muhammad Fahrul Roji</t>
  </si>
  <si>
    <t>0064672928</t>
  </si>
  <si>
    <t>2440</t>
  </si>
  <si>
    <t>Rahma Agustina</t>
  </si>
  <si>
    <t>0068424251</t>
  </si>
  <si>
    <t>2476</t>
  </si>
  <si>
    <t>Raya Intan Nuraini</t>
  </si>
  <si>
    <t>0053307747</t>
  </si>
  <si>
    <t>2512</t>
  </si>
  <si>
    <t>Rahma Yunita Putri</t>
  </si>
  <si>
    <t>0068689779</t>
  </si>
  <si>
    <t>2548</t>
  </si>
  <si>
    <t>Ria Wardila</t>
  </si>
  <si>
    <t>0066370696</t>
  </si>
  <si>
    <t>2584</t>
  </si>
  <si>
    <t>Ravina Ayu Pramesti</t>
  </si>
  <si>
    <t>0065624461</t>
  </si>
  <si>
    <t>2620</t>
  </si>
  <si>
    <t>Oktavia Rahmadhani</t>
  </si>
  <si>
    <t>0053109899</t>
  </si>
  <si>
    <t>2656</t>
  </si>
  <si>
    <t>Qusnul Khorima</t>
  </si>
  <si>
    <t>0046898307</t>
  </si>
  <si>
    <t>2043</t>
  </si>
  <si>
    <t>Nadila Dewi Nurmelisa</t>
  </si>
  <si>
    <t>0056324938</t>
  </si>
  <si>
    <t>2081</t>
  </si>
  <si>
    <t>Riyo Saputro</t>
  </si>
  <si>
    <t>0053575356</t>
  </si>
  <si>
    <t>2115</t>
  </si>
  <si>
    <t>Mutia Nurul Hidayah</t>
  </si>
  <si>
    <t>0047130861</t>
  </si>
  <si>
    <t>2151</t>
  </si>
  <si>
    <t>Rahma Tiya Cantika</t>
  </si>
  <si>
    <t>0053577864</t>
  </si>
  <si>
    <t>2187</t>
  </si>
  <si>
    <t>Nurma Setyaningsih</t>
  </si>
  <si>
    <t>0046898365</t>
  </si>
  <si>
    <t>2223</t>
  </si>
  <si>
    <t>Ramadhani Nur Eka Arsin Saputri</t>
  </si>
  <si>
    <t>0054779107</t>
  </si>
  <si>
    <t>2259</t>
  </si>
  <si>
    <t>Nur Susilowati</t>
  </si>
  <si>
    <t>0053815621</t>
  </si>
  <si>
    <t>2295</t>
  </si>
  <si>
    <t>Rahajeng Sinta Bella Ayunansia</t>
  </si>
  <si>
    <t>0051478913</t>
  </si>
  <si>
    <t>2331</t>
  </si>
  <si>
    <t>Putri Windha Khasanah</t>
  </si>
  <si>
    <t>0063126789</t>
  </si>
  <si>
    <t>2694</t>
  </si>
  <si>
    <t>Samsul Bahri</t>
  </si>
  <si>
    <t>0069230646</t>
  </si>
  <si>
    <t>2729</t>
  </si>
  <si>
    <t>Muhammad Zakaria Raihan</t>
  </si>
  <si>
    <t>0071483813</t>
  </si>
  <si>
    <t>2765</t>
  </si>
  <si>
    <t>Rivina Dwi Febrianti</t>
  </si>
  <si>
    <t>0071050734</t>
  </si>
  <si>
    <t>2801</t>
  </si>
  <si>
    <t>Salma Galuh Handayani</t>
  </si>
  <si>
    <t>0075968932</t>
  </si>
  <si>
    <t>2837</t>
  </si>
  <si>
    <t>Ramadhan Kenza Malino</t>
  </si>
  <si>
    <t>0072861367</t>
  </si>
  <si>
    <t>2873</t>
  </si>
  <si>
    <t>Richard Prafist Pandega</t>
  </si>
  <si>
    <t>0062011872</t>
  </si>
  <si>
    <t>2909</t>
  </si>
  <si>
    <t>Nindi Julia Safitri</t>
  </si>
  <si>
    <t>0064893370</t>
  </si>
  <si>
    <t>2945</t>
  </si>
  <si>
    <t>Nabila Marantika</t>
  </si>
  <si>
    <t>0075861534</t>
  </si>
  <si>
    <t>2981</t>
  </si>
  <si>
    <t>Rizania Oktaviani</t>
  </si>
  <si>
    <t>0069374619</t>
  </si>
  <si>
    <t>2369</t>
  </si>
  <si>
    <t>Naufal Alif Prayoga</t>
  </si>
  <si>
    <t>0067533810</t>
  </si>
  <si>
    <t>2405</t>
  </si>
  <si>
    <t>Reggy Orlando Prasetyo</t>
  </si>
  <si>
    <t>0063936957</t>
  </si>
  <si>
    <t>2441</t>
  </si>
  <si>
    <t>Rasya Putri Rahmadhani</t>
  </si>
  <si>
    <t>0054473137</t>
  </si>
  <si>
    <t>2477</t>
  </si>
  <si>
    <t>Ririt Kurniawati</t>
  </si>
  <si>
    <t>0061375767</t>
  </si>
  <si>
    <t>2513</t>
  </si>
  <si>
    <t>Reva Muhammad Nor</t>
  </si>
  <si>
    <t>0064943263</t>
  </si>
  <si>
    <t>2549</t>
  </si>
  <si>
    <t>Rina Tri Wahyuni</t>
  </si>
  <si>
    <t>0066364427</t>
  </si>
  <si>
    <t>2585</t>
  </si>
  <si>
    <t>Rini Yuliani</t>
  </si>
  <si>
    <t>0077971469</t>
  </si>
  <si>
    <t>2621</t>
  </si>
  <si>
    <t>Putri Ayu Wulandari</t>
  </si>
  <si>
    <t>0067127702</t>
  </si>
  <si>
    <t>2657</t>
  </si>
  <si>
    <t>Rezalina Dwi Ananta</t>
  </si>
  <si>
    <t>0053490114</t>
  </si>
  <si>
    <t>2044</t>
  </si>
  <si>
    <t>Nikolas Muhamad Robani</t>
  </si>
  <si>
    <t>0042079890</t>
  </si>
  <si>
    <t>2082</t>
  </si>
  <si>
    <t>Shodiq Ahmad Fauzi</t>
  </si>
  <si>
    <t>0053490061</t>
  </si>
  <si>
    <t>2116</t>
  </si>
  <si>
    <t>Nining Dewi Susanti</t>
  </si>
  <si>
    <t>0046896362</t>
  </si>
  <si>
    <t>2152</t>
  </si>
  <si>
    <t>Reyana Sispani</t>
  </si>
  <si>
    <t>0051502410</t>
  </si>
  <si>
    <t>2188</t>
  </si>
  <si>
    <t>Panji Pebrianto</t>
  </si>
  <si>
    <t>0053479404</t>
  </si>
  <si>
    <t>2224</t>
  </si>
  <si>
    <t>Riska Anggraini</t>
  </si>
  <si>
    <t>0056538923</t>
  </si>
  <si>
    <t>2260</t>
  </si>
  <si>
    <t>Putri Nabela Sari</t>
  </si>
  <si>
    <t>0043096291</t>
  </si>
  <si>
    <t>2296</t>
  </si>
  <si>
    <t>Ramadhani</t>
  </si>
  <si>
    <t>0053578034</t>
  </si>
  <si>
    <t>2332</t>
  </si>
  <si>
    <t>Ratnawati</t>
  </si>
  <si>
    <t>0075209312</t>
  </si>
  <si>
    <t>2695</t>
  </si>
  <si>
    <t>Shintia Klara Afanthi</t>
  </si>
  <si>
    <t>0076369658</t>
  </si>
  <si>
    <t>2730</t>
  </si>
  <si>
    <t>Raka Nawang Seta</t>
  </si>
  <si>
    <t>0063981618</t>
  </si>
  <si>
    <t>2766</t>
  </si>
  <si>
    <t>Riya Susanti</t>
  </si>
  <si>
    <t>0062420582</t>
  </si>
  <si>
    <t>2802</t>
  </si>
  <si>
    <t>Sekar Ardiyanti</t>
  </si>
  <si>
    <t>0072967395</t>
  </si>
  <si>
    <t>2838</t>
  </si>
  <si>
    <t>Reyfina Vantin Kenstiti</t>
  </si>
  <si>
    <t>0067936702</t>
  </si>
  <si>
    <t>2874</t>
  </si>
  <si>
    <t>Rina Dewi Safitri</t>
  </si>
  <si>
    <t>0074004888</t>
  </si>
  <si>
    <t>2910</t>
  </si>
  <si>
    <t>Nurma Azizah</t>
  </si>
  <si>
    <t>0074566804</t>
  </si>
  <si>
    <t>2946</t>
  </si>
  <si>
    <t>Naysya Eka Andharaswari</t>
  </si>
  <si>
    <t>0065249034</t>
  </si>
  <si>
    <t>2982</t>
  </si>
  <si>
    <t>Rizky Noviana Syahputri</t>
  </si>
  <si>
    <t>0065059802</t>
  </si>
  <si>
    <t>2370</t>
  </si>
  <si>
    <t>Qorry Zahroh Auliena</t>
  </si>
  <si>
    <t>0045999607</t>
  </si>
  <si>
    <t>2406</t>
  </si>
  <si>
    <t>Rendy Ady Prayoga</t>
  </si>
  <si>
    <t>0067189054</t>
  </si>
  <si>
    <t>2442</t>
  </si>
  <si>
    <t>Revalia Dea Febrianti</t>
  </si>
  <si>
    <t>0053240362</t>
  </si>
  <si>
    <t>2478</t>
  </si>
  <si>
    <t>Salza Luthfia Andarina</t>
  </si>
  <si>
    <t>0065351514</t>
  </si>
  <si>
    <t>2514</t>
  </si>
  <si>
    <t>Riztika Merista Indriani</t>
  </si>
  <si>
    <t>0062165602</t>
  </si>
  <si>
    <t>2550</t>
  </si>
  <si>
    <t>Riyanti</t>
  </si>
  <si>
    <t>0048566094</t>
  </si>
  <si>
    <t>2586</t>
  </si>
  <si>
    <t>Rizki Insan Pratama</t>
  </si>
  <si>
    <t>0059534507</t>
  </si>
  <si>
    <t>2622</t>
  </si>
  <si>
    <t>Reviana Indah Pramudya</t>
  </si>
  <si>
    <t>0061344978</t>
  </si>
  <si>
    <t>2658</t>
  </si>
  <si>
    <t>Riyana Silva Davira</t>
  </si>
  <si>
    <t>0047130423</t>
  </si>
  <si>
    <t>2045</t>
  </si>
  <si>
    <t>Ramandanni</t>
  </si>
  <si>
    <t>0046898458</t>
  </si>
  <si>
    <t>2083</t>
  </si>
  <si>
    <t>Sidik Dwi Nugroho</t>
  </si>
  <si>
    <t>0047131138</t>
  </si>
  <si>
    <t>2117</t>
  </si>
  <si>
    <t>Nur Haliza Iqya Afita</t>
  </si>
  <si>
    <t>0048698496</t>
  </si>
  <si>
    <t>2153</t>
  </si>
  <si>
    <t>Royan Siti Maftuhah</t>
  </si>
  <si>
    <t>0044910681</t>
  </si>
  <si>
    <t>2189</t>
  </si>
  <si>
    <t>Praditha Davina Putri Prasetyo</t>
  </si>
  <si>
    <t>0054661968</t>
  </si>
  <si>
    <t>2225</t>
  </si>
  <si>
    <t>Selviana Setiya Putri</t>
  </si>
  <si>
    <t>0052816170</t>
  </si>
  <si>
    <t>2261</t>
  </si>
  <si>
    <t>Rima Nofika Qoir</t>
  </si>
  <si>
    <t>0053816569</t>
  </si>
  <si>
    <t>2297</t>
  </si>
  <si>
    <t>Riezka Alifia Sambudyasti</t>
  </si>
  <si>
    <t>0043097483</t>
  </si>
  <si>
    <t>2333</t>
  </si>
  <si>
    <t>Reza Laura</t>
  </si>
  <si>
    <t>0061847913</t>
  </si>
  <si>
    <t>2696</t>
  </si>
  <si>
    <t>Tyas Putri Amalia</t>
  </si>
  <si>
    <t>0074715351</t>
  </si>
  <si>
    <t>2731</t>
  </si>
  <si>
    <t>Reza Adhi Pradana</t>
  </si>
  <si>
    <t>0065313727</t>
  </si>
  <si>
    <t>2767</t>
  </si>
  <si>
    <t>Seva Azzis Andriawan</t>
  </si>
  <si>
    <t>0074332060</t>
  </si>
  <si>
    <t>2803</t>
  </si>
  <si>
    <t>Shabila Azzahra Pratiwi</t>
  </si>
  <si>
    <t>0076141660</t>
  </si>
  <si>
    <t>2839</t>
  </si>
  <si>
    <t>Rio Adhi Nugroho</t>
  </si>
  <si>
    <t>0063955492</t>
  </si>
  <si>
    <t>2875</t>
  </si>
  <si>
    <t>Rosi Ayu Susilowati</t>
  </si>
  <si>
    <t>0073685016</t>
  </si>
  <si>
    <t>2911</t>
  </si>
  <si>
    <t>Rahma Meita Sari</t>
  </si>
  <si>
    <t>0073550345</t>
  </si>
  <si>
    <t>2947</t>
  </si>
  <si>
    <t>Novela Triarosela</t>
  </si>
  <si>
    <t>0067071755</t>
  </si>
  <si>
    <t>2983</t>
  </si>
  <si>
    <t>Suci Maelani</t>
  </si>
  <si>
    <t>0052084392</t>
  </si>
  <si>
    <t>2371</t>
  </si>
  <si>
    <t>Rakesh Zefanya Yehezkiel</t>
  </si>
  <si>
    <t>0067952657</t>
  </si>
  <si>
    <t>2407</t>
  </si>
  <si>
    <t>Ridwan Cahyo Nugroho</t>
  </si>
  <si>
    <t>0057069456</t>
  </si>
  <si>
    <t>2443</t>
  </si>
  <si>
    <t>Sabrina Zulaikha</t>
  </si>
  <si>
    <t>0063814409</t>
  </si>
  <si>
    <t>2479</t>
  </si>
  <si>
    <t>Siti Nur Rochimah</t>
  </si>
  <si>
    <t>0059054879</t>
  </si>
  <si>
    <t>2515</t>
  </si>
  <si>
    <t>Shellin Ardhita</t>
  </si>
  <si>
    <t>0073962036</t>
  </si>
  <si>
    <t>2551</t>
  </si>
  <si>
    <t>Rossalita Nindi Rahma Azzahra</t>
  </si>
  <si>
    <t>0068422528</t>
  </si>
  <si>
    <t>2587</t>
  </si>
  <si>
    <t>Selvia</t>
  </si>
  <si>
    <t>0056741395</t>
  </si>
  <si>
    <t>2623</t>
  </si>
  <si>
    <t>Rireh Lilis Setyaningsih</t>
  </si>
  <si>
    <t>0052685127</t>
  </si>
  <si>
    <t>2660</t>
  </si>
  <si>
    <t>Sheila Anjarsari</t>
  </si>
  <si>
    <t>0053577859</t>
  </si>
  <si>
    <t>2046</t>
  </si>
  <si>
    <t>Ricky Rendra Lesmana</t>
  </si>
  <si>
    <t>0053578375</t>
  </si>
  <si>
    <t>2084</t>
  </si>
  <si>
    <t>Siswanto</t>
  </si>
  <si>
    <t>0058896063</t>
  </si>
  <si>
    <t>2118</t>
  </si>
  <si>
    <t>Rahayu Prihatmini</t>
  </si>
  <si>
    <t>0053575249</t>
  </si>
  <si>
    <t>2154</t>
  </si>
  <si>
    <t>Sabrina Faradiba Setiawan</t>
  </si>
  <si>
    <t>0043096915</t>
  </si>
  <si>
    <t>2190</t>
  </si>
  <si>
    <t>Rena Wulandari</t>
  </si>
  <si>
    <t>0053142103</t>
  </si>
  <si>
    <t>2226</t>
  </si>
  <si>
    <t>Siswi Puji Lestari</t>
  </si>
  <si>
    <t>0053103895</t>
  </si>
  <si>
    <t>2262</t>
  </si>
  <si>
    <t>Rizka Amelia</t>
  </si>
  <si>
    <t>0047754438</t>
  </si>
  <si>
    <t>2298</t>
  </si>
  <si>
    <t>Selfi Ratnasari</t>
  </si>
  <si>
    <t>0046898711</t>
  </si>
  <si>
    <t>2334</t>
  </si>
  <si>
    <t>Riska Fitriani</t>
  </si>
  <si>
    <t>0065801857</t>
  </si>
  <si>
    <t>2697</t>
  </si>
  <si>
    <t>Vito Sebastian</t>
  </si>
  <si>
    <t>0074737346</t>
  </si>
  <si>
    <t>2732</t>
  </si>
  <si>
    <t>Riezma Azqila Sambudyasti</t>
  </si>
  <si>
    <t>0056587194</t>
  </si>
  <si>
    <t>2768</t>
  </si>
  <si>
    <t>Taufik Rohman</t>
  </si>
  <si>
    <t>0077117141</t>
  </si>
  <si>
    <t>2804</t>
  </si>
  <si>
    <t>Silfi Ani Anggun Saputri</t>
  </si>
  <si>
    <t>0065318820</t>
  </si>
  <si>
    <t>2840</t>
  </si>
  <si>
    <t>Sagita Wulandari</t>
  </si>
  <si>
    <t>0066473943</t>
  </si>
  <si>
    <t>2876</t>
  </si>
  <si>
    <t>Rossalia</t>
  </si>
  <si>
    <t>0065038619</t>
  </si>
  <si>
    <t>2912</t>
  </si>
  <si>
    <t>Rengganis Alya Kusuma</t>
  </si>
  <si>
    <t>0067765152</t>
  </si>
  <si>
    <t>2948</t>
  </si>
  <si>
    <t>Putri Laillatul Ullin Nuha</t>
  </si>
  <si>
    <t>0067548052</t>
  </si>
  <si>
    <t>2984</t>
  </si>
  <si>
    <t>Syelvanianovian Ananda Utama</t>
  </si>
  <si>
    <t>0052381863</t>
  </si>
  <si>
    <t>2372</t>
  </si>
  <si>
    <t>Rendi Setiawan</t>
  </si>
  <si>
    <t>0064821650</t>
  </si>
  <si>
    <t>2408</t>
  </si>
  <si>
    <t>Riki Anaj Yolanda</t>
  </si>
  <si>
    <t>0061143257</t>
  </si>
  <si>
    <t>2444</t>
  </si>
  <si>
    <t>Simon Roy Rivaldi Manik</t>
  </si>
  <si>
    <t>0030249516</t>
  </si>
  <si>
    <t>2480</t>
  </si>
  <si>
    <t>Suwarni</t>
  </si>
  <si>
    <t>0068392900</t>
  </si>
  <si>
    <t>2516</t>
  </si>
  <si>
    <t>Sofy Anggun Ermaya</t>
  </si>
  <si>
    <t>0062102783</t>
  </si>
  <si>
    <t>2552</t>
  </si>
  <si>
    <t>Salwa Dwi Maharani</t>
  </si>
  <si>
    <t>0053279323</t>
  </si>
  <si>
    <t>2588</t>
  </si>
  <si>
    <t>Shinta Oktayiany</t>
  </si>
  <si>
    <t>0069920557</t>
  </si>
  <si>
    <t>2624</t>
  </si>
  <si>
    <t>Selvila Yuni Multanti</t>
  </si>
  <si>
    <t>0063822047</t>
  </si>
  <si>
    <t>2661</t>
  </si>
  <si>
    <t>Sindi Rahmawati</t>
  </si>
  <si>
    <t>0056038177</t>
  </si>
  <si>
    <t>2048</t>
  </si>
  <si>
    <t>Shella</t>
  </si>
  <si>
    <t>0042869898</t>
  </si>
  <si>
    <t>2085</t>
  </si>
  <si>
    <t>Surya Fitrian Bagus Nugroho</t>
  </si>
  <si>
    <t>0053816166</t>
  </si>
  <si>
    <t>2119</t>
  </si>
  <si>
    <t>Rendra Aji Prasetya</t>
  </si>
  <si>
    <t>0053578029</t>
  </si>
  <si>
    <t>2155</t>
  </si>
  <si>
    <t>Shifa Khoirunnisa</t>
  </si>
  <si>
    <t>0057460632</t>
  </si>
  <si>
    <t>2191</t>
  </si>
  <si>
    <t>Siti Nur Aisyah</t>
  </si>
  <si>
    <t>0053490105</t>
  </si>
  <si>
    <t>2227</t>
  </si>
  <si>
    <t>Sofiyah Izzatul Jannah</t>
  </si>
  <si>
    <t>0054103019</t>
  </si>
  <si>
    <t>2263</t>
  </si>
  <si>
    <t>Siti Zainur Rohman</t>
  </si>
  <si>
    <t>0046898311</t>
  </si>
  <si>
    <t>2299</t>
  </si>
  <si>
    <t>Selfana Neha Pandini</t>
  </si>
  <si>
    <t>0046896364</t>
  </si>
  <si>
    <t>2335</t>
  </si>
  <si>
    <t>Risma Pancawati</t>
  </si>
  <si>
    <t>0077076702</t>
  </si>
  <si>
    <t>2698</t>
  </si>
  <si>
    <t>Wakit Setiawan</t>
  </si>
  <si>
    <t>0065195752</t>
  </si>
  <si>
    <t>2733</t>
  </si>
  <si>
    <t>Rivaldi Agustian</t>
  </si>
  <si>
    <t>0072857423</t>
  </si>
  <si>
    <t>2769</t>
  </si>
  <si>
    <t>Tita Raharja Siwi</t>
  </si>
  <si>
    <t>0069739981</t>
  </si>
  <si>
    <t>2805</t>
  </si>
  <si>
    <t>Sinta Wulandari</t>
  </si>
  <si>
    <t>0071282500</t>
  </si>
  <si>
    <t>2841</t>
  </si>
  <si>
    <t>Siti Zamshiyah</t>
  </si>
  <si>
    <t>0063287881</t>
  </si>
  <si>
    <t>2877</t>
  </si>
  <si>
    <t>Septia Maharani</t>
  </si>
  <si>
    <t>0069608605</t>
  </si>
  <si>
    <t>2913</t>
  </si>
  <si>
    <t>Reva Aguilera</t>
  </si>
  <si>
    <t>0069838186</t>
  </si>
  <si>
    <t>2949</t>
  </si>
  <si>
    <t>Salsabila Fatikasari</t>
  </si>
  <si>
    <t>0072820529</t>
  </si>
  <si>
    <t>2985</t>
  </si>
  <si>
    <t>Thaleta Dewi Erianto</t>
  </si>
  <si>
    <t>0053985111</t>
  </si>
  <si>
    <t>2373</t>
  </si>
  <si>
    <t>Ridho Latifa Nur Ramadhan</t>
  </si>
  <si>
    <t>0066872561</t>
  </si>
  <si>
    <t>2409</t>
  </si>
  <si>
    <t>Rizky Tegar Saputra</t>
  </si>
  <si>
    <t>0066044241</t>
  </si>
  <si>
    <t>2445</t>
  </si>
  <si>
    <t>Sri Rahayu</t>
  </si>
  <si>
    <t>0069743457</t>
  </si>
  <si>
    <t>2481</t>
  </si>
  <si>
    <t>Syl Syla Ayuningtyias</t>
  </si>
  <si>
    <t>0053569801</t>
  </si>
  <si>
    <t>2517</t>
  </si>
  <si>
    <t>Tiara Melani</t>
  </si>
  <si>
    <t>0058943005</t>
  </si>
  <si>
    <t>2553</t>
  </si>
  <si>
    <t>Shella Anastasya Putri</t>
  </si>
  <si>
    <t>0063400897</t>
  </si>
  <si>
    <t>2589</t>
  </si>
  <si>
    <t>Stevi Nanda Ristiyani</t>
  </si>
  <si>
    <t>0064290399</t>
  </si>
  <si>
    <t>2625</t>
  </si>
  <si>
    <t>Shintia Febrianti</t>
  </si>
  <si>
    <t>0061728423</t>
  </si>
  <si>
    <t>2662</t>
  </si>
  <si>
    <t>Sulis Setyowati</t>
  </si>
  <si>
    <t>0048723376</t>
  </si>
  <si>
    <t>2049</t>
  </si>
  <si>
    <t>Sigit Pamungkas</t>
  </si>
  <si>
    <t>0053873042</t>
  </si>
  <si>
    <t>2086</t>
  </si>
  <si>
    <t>Syahrul Akbar Raihan</t>
  </si>
  <si>
    <t>0046898373</t>
  </si>
  <si>
    <t>2120</t>
  </si>
  <si>
    <t>Rustiti Suciati</t>
  </si>
  <si>
    <t>0053772772</t>
  </si>
  <si>
    <t>2156</t>
  </si>
  <si>
    <t>Ulfiyana 'Ainurahmawati</t>
  </si>
  <si>
    <t>0053575138</t>
  </si>
  <si>
    <t>2192</t>
  </si>
  <si>
    <t>Sopyan Hamid Nur Handoyo</t>
  </si>
  <si>
    <t>0046898571</t>
  </si>
  <si>
    <t>2228</t>
  </si>
  <si>
    <t>Suci Yuhanes Ramadila</t>
  </si>
  <si>
    <t>0053771844</t>
  </si>
  <si>
    <t>2264</t>
  </si>
  <si>
    <t>Suci Artika Sari</t>
  </si>
  <si>
    <t>0053815937</t>
  </si>
  <si>
    <t>2300</t>
  </si>
  <si>
    <t>Septy Anggreini</t>
  </si>
  <si>
    <t>0053816486</t>
  </si>
  <si>
    <t>2336</t>
  </si>
  <si>
    <t>Sabrina Nur Hamidah</t>
  </si>
  <si>
    <t>0072124252</t>
  </si>
  <si>
    <t>2699</t>
  </si>
  <si>
    <t>Willy Gustiano</t>
  </si>
  <si>
    <t>0072651517</t>
  </si>
  <si>
    <t>2734</t>
  </si>
  <si>
    <t>Sri Haryanti Susilowati</t>
  </si>
  <si>
    <t>0061238784</t>
  </si>
  <si>
    <t>2770</t>
  </si>
  <si>
    <t>Tutik Lestari</t>
  </si>
  <si>
    <t>0063778069</t>
  </si>
  <si>
    <t>2806</t>
  </si>
  <si>
    <t>Sriwulan Rahmadani</t>
  </si>
  <si>
    <t>0074195059</t>
  </si>
  <si>
    <t>2842</t>
  </si>
  <si>
    <t>Tartiana Eka Pratiwi</t>
  </si>
  <si>
    <t>0062035329</t>
  </si>
  <si>
    <t>2878</t>
  </si>
  <si>
    <t>Sherlyna Dwi Yunica</t>
  </si>
  <si>
    <t>0065310567</t>
  </si>
  <si>
    <t>2914</t>
  </si>
  <si>
    <t>Rulik Nazal Aminah</t>
  </si>
  <si>
    <t>0088556354</t>
  </si>
  <si>
    <t>2950</t>
  </si>
  <si>
    <t>Saskia Ayu Windyarti</t>
  </si>
  <si>
    <t>0061339692</t>
  </si>
  <si>
    <t>2986</t>
  </si>
  <si>
    <t>Tiara Ayu Anggrahini</t>
  </si>
  <si>
    <t>0061615580</t>
  </si>
  <si>
    <t>2374</t>
  </si>
  <si>
    <t>Rizki Agustian Pradiyansah</t>
  </si>
  <si>
    <t>0064351337</t>
  </si>
  <si>
    <t>2410</t>
  </si>
  <si>
    <t>Sholeman</t>
  </si>
  <si>
    <t>0060234173</t>
  </si>
  <si>
    <t>2446</t>
  </si>
  <si>
    <t>Tiara Sherlita</t>
  </si>
  <si>
    <t>0068326821</t>
  </si>
  <si>
    <t>2482</t>
  </si>
  <si>
    <t>Titis Alvio Ayatulloh</t>
  </si>
  <si>
    <t>0051931477</t>
  </si>
  <si>
    <t>2518</t>
  </si>
  <si>
    <t>Tri Galuh Maharani</t>
  </si>
  <si>
    <t>0065691282</t>
  </si>
  <si>
    <t>2554</t>
  </si>
  <si>
    <t>Sri Rido Wati</t>
  </si>
  <si>
    <t>0058526510</t>
  </si>
  <si>
    <t>2590</t>
  </si>
  <si>
    <t>Tantri Anggraini</t>
  </si>
  <si>
    <t>0069150804</t>
  </si>
  <si>
    <t>2626</t>
  </si>
  <si>
    <t>Suci Ramadhani</t>
  </si>
  <si>
    <t>0065897946</t>
  </si>
  <si>
    <t>2664</t>
  </si>
  <si>
    <t>Wanda Dwi Margi Lestari</t>
  </si>
  <si>
    <t>0043097451</t>
  </si>
  <si>
    <t>2050</t>
  </si>
  <si>
    <t>Syukhron Rifai</t>
  </si>
  <si>
    <t>0044011229</t>
  </si>
  <si>
    <t>2087</t>
  </si>
  <si>
    <t>Waldi Fisa Yurdana</t>
  </si>
  <si>
    <t>0053479651</t>
  </si>
  <si>
    <t>2121</t>
  </si>
  <si>
    <t>Samsul Arifin</t>
  </si>
  <si>
    <t>0055269078</t>
  </si>
  <si>
    <t>2157</t>
  </si>
  <si>
    <t>Usman Maulana</t>
  </si>
  <si>
    <t>0053578236</t>
  </si>
  <si>
    <t>2193</t>
  </si>
  <si>
    <t>Tiyas Sanda Iko Febria</t>
  </si>
  <si>
    <t>0047130547</t>
  </si>
  <si>
    <t>2229</t>
  </si>
  <si>
    <t>Tika Fahmawati</t>
  </si>
  <si>
    <t>0046898653</t>
  </si>
  <si>
    <t>2265</t>
  </si>
  <si>
    <t>Tari Adita</t>
  </si>
  <si>
    <t>0046898708</t>
  </si>
  <si>
    <t>2301</t>
  </si>
  <si>
    <t>Tarista Alsagea</t>
  </si>
  <si>
    <t>0053815785</t>
  </si>
  <si>
    <t>2337</t>
  </si>
  <si>
    <t>Salsabila Pramudita Anin</t>
  </si>
  <si>
    <t>0066216444</t>
  </si>
  <si>
    <t>2700</t>
  </si>
  <si>
    <t>Wulan Aprilia Maulidiani</t>
  </si>
  <si>
    <t>0061846631</t>
  </si>
  <si>
    <t>2735</t>
  </si>
  <si>
    <t>Taufiq Nur Hidayat</t>
  </si>
  <si>
    <t>0064101606</t>
  </si>
  <si>
    <t>2771</t>
  </si>
  <si>
    <t>Vira Citra Mawadah</t>
  </si>
  <si>
    <t>0072905740</t>
  </si>
  <si>
    <t>2807</t>
  </si>
  <si>
    <t>Ummi Sholikhah</t>
  </si>
  <si>
    <t>0067876248</t>
  </si>
  <si>
    <t>2843</t>
  </si>
  <si>
    <t>Titis Dian Puspita</t>
  </si>
  <si>
    <t>0073409174</t>
  </si>
  <si>
    <t>2879</t>
  </si>
  <si>
    <t>Tourama Dwi Sopyanto</t>
  </si>
  <si>
    <t>0068760828</t>
  </si>
  <si>
    <t>2915</t>
  </si>
  <si>
    <t>Serbiana Ayu Ambarwati</t>
  </si>
  <si>
    <t>0066054809</t>
  </si>
  <si>
    <t>2951</t>
  </si>
  <si>
    <t>Wilda Putri Ardiani</t>
  </si>
  <si>
    <t>0072446821</t>
  </si>
  <si>
    <t>2987</t>
  </si>
  <si>
    <t>Tifa Nur Azizah</t>
  </si>
  <si>
    <t>0069186538</t>
  </si>
  <si>
    <t>2375</t>
  </si>
  <si>
    <t>Tiara Cindy Amelia</t>
  </si>
  <si>
    <t>0056609474</t>
  </si>
  <si>
    <t>2411</t>
  </si>
  <si>
    <t>Tomas Agus Prasetyo</t>
  </si>
  <si>
    <t>0067040148</t>
  </si>
  <si>
    <t>2447</t>
  </si>
  <si>
    <t>Tsalmahera Ika Lestari</t>
  </si>
  <si>
    <t>0065643180</t>
  </si>
  <si>
    <t>2483</t>
  </si>
  <si>
    <t>Verrell Alfareza Adyan</t>
  </si>
  <si>
    <t>0065247832</t>
  </si>
  <si>
    <t>2519</t>
  </si>
  <si>
    <t>Veryka Dila Paramita</t>
  </si>
  <si>
    <t>0065388257</t>
  </si>
  <si>
    <t>2555</t>
  </si>
  <si>
    <t>Tanti Nurseto</t>
  </si>
  <si>
    <t>0056717031</t>
  </si>
  <si>
    <t>2591</t>
  </si>
  <si>
    <t>Umi Nur Usahidah</t>
  </si>
  <si>
    <t>0058967650</t>
  </si>
  <si>
    <t>2627</t>
  </si>
  <si>
    <t>Thirta Melandri</t>
  </si>
  <si>
    <t>0057554084</t>
  </si>
  <si>
    <t>2665</t>
  </si>
  <si>
    <t>Zalma Budi Lestari</t>
  </si>
  <si>
    <t>0058474257</t>
  </si>
  <si>
    <t>2051</t>
  </si>
  <si>
    <t>Tri Bagas Prasetiyo</t>
  </si>
  <si>
    <t>0046898450</t>
  </si>
  <si>
    <t>2088</t>
  </si>
  <si>
    <t>Yuswa Atrisko</t>
  </si>
  <si>
    <t>0053147341</t>
  </si>
  <si>
    <t>2122</t>
  </si>
  <si>
    <t>Siti Nur Fakiroh Assalami</t>
  </si>
  <si>
    <t>0041897189</t>
  </si>
  <si>
    <t>2158</t>
  </si>
  <si>
    <t>Vincent Adrian Kian</t>
  </si>
  <si>
    <t>0047130562</t>
  </si>
  <si>
    <t>2194</t>
  </si>
  <si>
    <t>Warseno Bambang Setyono</t>
  </si>
  <si>
    <t>0056961741</t>
  </si>
  <si>
    <t>2230</t>
  </si>
  <si>
    <t>Tiwi Rintiastanti</t>
  </si>
  <si>
    <t>0050916534</t>
  </si>
  <si>
    <t>2266</t>
  </si>
  <si>
    <t>Tiara Adetina Muslimah</t>
  </si>
  <si>
    <t>0046196815</t>
  </si>
  <si>
    <t>2302</t>
  </si>
  <si>
    <t>Tasya Fitriani</t>
  </si>
  <si>
    <t>0053578389</t>
  </si>
  <si>
    <t>2338</t>
  </si>
  <si>
    <t>Shelly Santika Kusumaningrum</t>
  </si>
  <si>
    <t>0064543125</t>
  </si>
  <si>
    <t>2701</t>
  </si>
  <si>
    <t>Zhafa Dwi Fatih Nurvirgianto</t>
  </si>
  <si>
    <t>0071926381</t>
  </si>
  <si>
    <t>2736</t>
  </si>
  <si>
    <t>Tito Verdy Willy Pradana</t>
  </si>
  <si>
    <t>0073171601</t>
  </si>
  <si>
    <t>2772</t>
  </si>
  <si>
    <t>Vivy Eka Handayani</t>
  </si>
  <si>
    <t>0079225910</t>
  </si>
  <si>
    <t>2808</t>
  </si>
  <si>
    <t>Vivi Ziyannita</t>
  </si>
  <si>
    <t>0072532886</t>
  </si>
  <si>
    <t>2844</t>
  </si>
  <si>
    <t>Yosiko Wahyu Nugroho</t>
  </si>
  <si>
    <t>0067533120</t>
  </si>
  <si>
    <t>2880</t>
  </si>
  <si>
    <t xml:space="preserve">Vani Anggitama </t>
  </si>
  <si>
    <t>0066927241</t>
  </si>
  <si>
    <t>2916</t>
  </si>
  <si>
    <t>Tania Nur Herawati</t>
  </si>
  <si>
    <t>0071715067</t>
  </si>
  <si>
    <t>2952</t>
  </si>
  <si>
    <t>Zain Mudzakarah Nurul'Aini</t>
  </si>
  <si>
    <t>0072956131</t>
  </si>
  <si>
    <t>2988</t>
  </si>
  <si>
    <t>Yunita Chikmatul Maula</t>
  </si>
  <si>
    <t>0057932458</t>
  </si>
  <si>
    <t>2376</t>
  </si>
  <si>
    <t>Umar Khoiri</t>
  </si>
  <si>
    <t>0069984748</t>
  </si>
  <si>
    <t>2412</t>
  </si>
  <si>
    <t>Yhanza Putra Adiprastama</t>
  </si>
  <si>
    <t>0067531187</t>
  </si>
  <si>
    <t>2448</t>
  </si>
  <si>
    <t>Virda Nurpriyatna</t>
  </si>
  <si>
    <t>0065145740</t>
  </si>
  <si>
    <t>2484</t>
  </si>
  <si>
    <t>Waafiyah Alfrida Nur Habibah</t>
  </si>
  <si>
    <t>0059083553</t>
  </si>
  <si>
    <t>2520</t>
  </si>
  <si>
    <t>Windu Ari Palgunadi</t>
  </si>
  <si>
    <t>0061263102</t>
  </si>
  <si>
    <t>2556</t>
  </si>
  <si>
    <t>Trisna Ayu Wulandari</t>
  </si>
  <si>
    <t>0069327409</t>
  </si>
  <si>
    <t>2592</t>
  </si>
  <si>
    <t>Wiwid Handayani</t>
  </si>
  <si>
    <t>0058351727</t>
  </si>
  <si>
    <t>2628</t>
  </si>
  <si>
    <t>Vidya Akshorima Deswanti</t>
  </si>
  <si>
    <t/>
  </si>
  <si>
    <t>0053578584</t>
  </si>
  <si>
    <t>2052</t>
  </si>
  <si>
    <t>Yusuf Septian Widianto</t>
  </si>
  <si>
    <t>0058620988</t>
  </si>
  <si>
    <t>2123</t>
  </si>
  <si>
    <t>Siwi Kurniasih</t>
  </si>
  <si>
    <t>0053876950</t>
  </si>
  <si>
    <t>2160</t>
  </si>
  <si>
    <t>Widianti</t>
  </si>
  <si>
    <t>0049675829</t>
  </si>
  <si>
    <t>2195</t>
  </si>
  <si>
    <t>Windhi Aprilia Putri</t>
  </si>
  <si>
    <t>0043096519</t>
  </si>
  <si>
    <t>2231</t>
  </si>
  <si>
    <t>Ustina Rahmawati</t>
  </si>
  <si>
    <t>0054670787</t>
  </si>
  <si>
    <t>2267</t>
  </si>
  <si>
    <t>Vega Aries Nugroho</t>
  </si>
  <si>
    <t>0054584293</t>
  </si>
  <si>
    <t>2303</t>
  </si>
  <si>
    <t>Vedila Indah Meiliana</t>
  </si>
  <si>
    <t>0053815789</t>
  </si>
  <si>
    <t>2339</t>
  </si>
  <si>
    <t>Siti Nur Kholifah</t>
  </si>
  <si>
    <t>0069396787</t>
  </si>
  <si>
    <t>2737</t>
  </si>
  <si>
    <t>Yusuf Mahmudha</t>
  </si>
  <si>
    <t>0063793041</t>
  </si>
  <si>
    <t>2773</t>
  </si>
  <si>
    <t>Zahwa Bunga Farissa</t>
  </si>
  <si>
    <t>0077816434</t>
  </si>
  <si>
    <t>2809</t>
  </si>
  <si>
    <t>Yayana Khoirul Insanudin</t>
  </si>
  <si>
    <t>0079024895</t>
  </si>
  <si>
    <t>2845</t>
  </si>
  <si>
    <t>Zahra Rosyana</t>
  </si>
  <si>
    <t>0075078551</t>
  </si>
  <si>
    <t>2917</t>
  </si>
  <si>
    <t>Zannuba Zam Azizah</t>
  </si>
  <si>
    <t>0071855273</t>
  </si>
  <si>
    <t>2953</t>
  </si>
  <si>
    <t>Zela Indah Mirnanda</t>
  </si>
  <si>
    <t>0065325015</t>
  </si>
  <si>
    <t>2989</t>
  </si>
  <si>
    <t>Zakhira Zahra Sabrina</t>
  </si>
  <si>
    <t>0051667652</t>
  </si>
  <si>
    <t>2377</t>
  </si>
  <si>
    <t>Yoga Candra Raharjo</t>
  </si>
  <si>
    <t>0053438218</t>
  </si>
  <si>
    <t>2413</t>
  </si>
  <si>
    <t>Yusuf Priyo Utomo</t>
  </si>
  <si>
    <t>0061520453</t>
  </si>
  <si>
    <t>2449</t>
  </si>
  <si>
    <t>Wulan Tejo Resmi</t>
  </si>
  <si>
    <t>0053575251</t>
  </si>
  <si>
    <t>2485</t>
  </si>
  <si>
    <t>Yulian Agustin Praditya</t>
  </si>
  <si>
    <t>0071337324</t>
  </si>
  <si>
    <t>2521</t>
  </si>
  <si>
    <t>Zetra Arimbi Tusalwa</t>
  </si>
  <si>
    <t>0052645342</t>
  </si>
  <si>
    <t>2557</t>
  </si>
  <si>
    <t>Widyaningsih</t>
  </si>
  <si>
    <t>0054759609</t>
  </si>
  <si>
    <t>2629</t>
  </si>
  <si>
    <t>Yolandha Flora Artamevia</t>
  </si>
  <si>
    <t>0057777227</t>
  </si>
  <si>
    <t>2124</t>
  </si>
  <si>
    <t>Wafiq Sadihna</t>
  </si>
  <si>
    <t>0053877780</t>
  </si>
  <si>
    <t>2196</t>
  </si>
  <si>
    <t>Yusroofa Bima Purnomo</t>
  </si>
  <si>
    <t>0056313232</t>
  </si>
  <si>
    <t>2232</t>
  </si>
  <si>
    <t>Wahyu Yuliana Mukti</t>
  </si>
  <si>
    <t>0047130610</t>
  </si>
  <si>
    <t>2268</t>
  </si>
  <si>
    <t>Yesin Ainun Nurrivah</t>
  </si>
  <si>
    <t>0053041374</t>
  </si>
  <si>
    <t>2304</t>
  </si>
  <si>
    <t>Wheny Nuraini</t>
  </si>
  <si>
    <t>0053578388</t>
  </si>
  <si>
    <t>2340</t>
  </si>
  <si>
    <t>Tina Setiyana</t>
  </si>
  <si>
    <t>a</t>
  </si>
  <si>
    <t>b</t>
  </si>
  <si>
    <t>pilih kelas</t>
  </si>
  <si>
    <t>pilih mapel</t>
  </si>
  <si>
    <t>isi kkm</t>
  </si>
  <si>
    <t>pilih nama guru</t>
  </si>
  <si>
    <t>isi diskripsi</t>
  </si>
  <si>
    <t>isi perbandingan pengetahuan</t>
  </si>
  <si>
    <t>isi perbandingan keterampilan</t>
  </si>
  <si>
    <t>Dokumen yang sudah diisi, silahkan di upload pada link berikut</t>
  </si>
  <si>
    <t>Kelas</t>
  </si>
  <si>
    <t>Mata Pelajaran</t>
  </si>
  <si>
    <t>Ketuntasan Belajar</t>
  </si>
  <si>
    <t>Nama Guru</t>
  </si>
  <si>
    <t>Diskripsi Pengetahuan</t>
  </si>
  <si>
    <t>P</t>
  </si>
  <si>
    <t>K</t>
  </si>
  <si>
    <t>https://forms.office.com/r/xxn44Q5rfZ</t>
  </si>
  <si>
    <t>Nama Mapel</t>
  </si>
  <si>
    <t>No</t>
  </si>
  <si>
    <t>Integritas</t>
  </si>
  <si>
    <t>Burhan Risa Pratiska, S.Pd</t>
  </si>
  <si>
    <t>Suhari, S.Pd., M.Pd</t>
  </si>
  <si>
    <t>Ananda mulai terlihat menunjukkan sikap setia, anti korupsi, keteladanaan, keadilan dan menghargai martabat manusia dalam kehidupan sehari-hari.</t>
  </si>
  <si>
    <t>Tri Budi Santoso, S.Pd</t>
  </si>
  <si>
    <t>Ananda mulai terbiasa menunjukkan sikap setia, anti korupsi, keteladanaan, keadilan dan menghargai martabat manusia dalam kehidupan sehari-hari.</t>
  </si>
  <si>
    <t>isi nilai pengetahuan</t>
  </si>
  <si>
    <t>isi nilai keterampilan</t>
  </si>
  <si>
    <t>Mulyadi, S.Pd</t>
  </si>
  <si>
    <t>Sudah menjadi kebiasaan bagi ananda  menunjukkan setia, anti korupsi, keteladanaan, keadilan dan menghargai martabat manusia dalam kehidupan sehari-hari.</t>
  </si>
  <si>
    <t>Nama</t>
  </si>
  <si>
    <t>NISN</t>
  </si>
  <si>
    <t>NIS</t>
  </si>
  <si>
    <t>Predikat mapel Non Produktif</t>
  </si>
  <si>
    <t>Predikat mapel Produktif</t>
  </si>
  <si>
    <t>Maryono, S.Pd</t>
  </si>
  <si>
    <t>Religius</t>
  </si>
  <si>
    <t xml:space="preserve">Dra. Sri Hartati </t>
  </si>
  <si>
    <t xml:space="preserve">Ananda mulai terlihat menunjukkan sikap berpikir kritis dan demokratis, kerja jeras, meyakini kebenaran hari akhir, ketentuan pernikahan dalam Islam, dan dakwah Islam </t>
  </si>
  <si>
    <t>NA</t>
  </si>
  <si>
    <t>Warastuti Sunarto Ady, S.Pd</t>
  </si>
  <si>
    <t xml:space="preserve">Ananda mulai terbiasa menunjukkan sikap  berpikir kritis dan demokratis, kerja jeras, meyakini kebenaran hari akhir, ketentuan pernikahan dalam Islam, dan dakwah Islam </t>
  </si>
  <si>
    <t>Galuh Wuri P, S.Pd</t>
  </si>
  <si>
    <t xml:space="preserve">Sudah menjadi kebiasaan bagi ananda  sikap berpikir kritis dan demokratis, kerja jeras, meyakini kebenaran hari akhir, ketentuan pernikahan dalam Islam, dan dakwah Islam </t>
  </si>
  <si>
    <t>Indrayati, S.Pd</t>
  </si>
  <si>
    <t>Nasionalis</t>
  </si>
  <si>
    <t>Diyan Wahyudi, S.Pd.</t>
  </si>
  <si>
    <t>Ananda mulai terlihat mampu bersikap rela berkorban, taat hukum, unggul, disiplin, berprestasi dan cinta damai dalam kehidupan sehari-hari.</t>
  </si>
  <si>
    <t>Marga Fajar Nugraha, S.Pd</t>
  </si>
  <si>
    <t>Ananda mulai terbiasa bersikap rela berkorban, taat hukum, unggul, disiplin, berprestasi dan cinta damai dalam kehidupan sehari-hari.</t>
  </si>
  <si>
    <t>Yudha Budi Ariyanto, S.E</t>
  </si>
  <si>
    <t>Sudah menjadi kebiasaan bagi ananda  bersikap rela berkorban, taat hukum, unggul, disiplin, berprestasi dan cinta damai dalam kehidupan sehari-hari.</t>
  </si>
  <si>
    <t>Hartono, S.I.P</t>
  </si>
  <si>
    <t>Mandiri</t>
  </si>
  <si>
    <t>Bahrudin, S.Pd</t>
  </si>
  <si>
    <t>Ananda mulai terlihat  bersikap tangguh, kerja keras, kreatif, berani, pembelajar, daya juang serta berwawasan informasi dan teknologi dalam kehidupan sehari-hari.</t>
  </si>
  <si>
    <t>Indira Prasetya Ardi, S.Pd</t>
  </si>
  <si>
    <t>Ananda mulai biasa bersikap tangguh, kerja keras, kreatif, berani, pembelajar, daya juang serta berwawasan informasi dan teknologi dalam kehidupan sehari-hari.</t>
  </si>
  <si>
    <t>Dina Kristiana, S.Pd</t>
  </si>
  <si>
    <t>Sudah menjadi kebiasaan bagi ananda  bersikap tangguh, kerja keras, kreatif, berani, pembelajar, daya juang serta berwawasan informasi dan teknologi dalam kehidupan sehari-hari.</t>
  </si>
  <si>
    <t>Ade Setiyawan, S.Kom</t>
  </si>
  <si>
    <t>Gotong royong</t>
  </si>
  <si>
    <t>May Ana Putri Aryani, S.Pd</t>
  </si>
  <si>
    <t>Ananda mulai terlihat menunjukkan sikap musyawarah, tolong – menolong, kerelawanan, solidaritas dan anti diskriminasi dalam kehidupan sehari-hari.</t>
  </si>
  <si>
    <t>Sri Ani Widyastuti, S.Pd</t>
  </si>
  <si>
    <t>Ananda mulai biasa  menunjukkan sikap musyawarah, tolong – menolong, kerelawanan, solidaritas dan anti diskriminasi dalam kehidupan sehari-hari.</t>
  </si>
  <si>
    <t>Adi Suryo Wiyono, S.Pd</t>
  </si>
  <si>
    <t>Sudah menjadi kebiasaan bagi ananda menunjukkan sikap musyawarah, tolong – menolong, kerelawanan, solidaritas dan anti diskriminasi dalam kehidupan sehari-hari.</t>
  </si>
  <si>
    <t>Rahmat Erdianto, S.Pd</t>
  </si>
  <si>
    <t>Fausa Nur Hidayati S., S.Pd</t>
  </si>
  <si>
    <t>Ahmad Iskandar Tri Marzuki, S.Kom</t>
  </si>
  <si>
    <t>Nina Hartanti, S.Pd</t>
  </si>
  <si>
    <t>Ria Setyaningrum,S.Pd</t>
  </si>
  <si>
    <t>Nur Aziz Masykuri, S.Pd</t>
  </si>
  <si>
    <t>Nur Muaffah Zakiyati, S.Pd</t>
  </si>
  <si>
    <t>Nisaun Markamah, S.Pd</t>
  </si>
  <si>
    <t>Estika Agus Kristanto, S.E.</t>
  </si>
  <si>
    <t>Sri Mulyani, S.Pd.</t>
  </si>
  <si>
    <t>Sumiati, S.Pd.</t>
  </si>
  <si>
    <t>Partiyo, S.Pd.</t>
  </si>
  <si>
    <t>Fabriyana Retno Astrini, S.Pd.</t>
  </si>
  <si>
    <t>Betharia Apsari, S.Pd</t>
  </si>
  <si>
    <t>Beti Mulyani, S.Pd</t>
  </si>
  <si>
    <t>Bambang Susilo, S.Pd</t>
  </si>
  <si>
    <t>Dedi Waloyo, S.Pd</t>
  </si>
  <si>
    <t>Anita Dwi Astuti, S.Pd</t>
  </si>
  <si>
    <t>Heri Setiyawan, S.Pd</t>
  </si>
  <si>
    <t>Emi Wulandari, S.Pd</t>
  </si>
  <si>
    <t>Emi Rukmana, S.Pd</t>
  </si>
  <si>
    <t>Anik Lestari, S.Pd</t>
  </si>
  <si>
    <t>Nilai Tertinggi</t>
  </si>
  <si>
    <t>Dwi Indah Astika Y., S.Pd</t>
  </si>
  <si>
    <t>Nilai Terendah</t>
  </si>
  <si>
    <t>Dewi Parwanti, S.Pd</t>
  </si>
  <si>
    <t>Rata-rata Nilai</t>
  </si>
  <si>
    <t>Lilis Sofiyatul Asna, S.Pd</t>
  </si>
  <si>
    <t>Putri Yuli Purwaningrum,S.Pd</t>
  </si>
  <si>
    <t>Devie Widyasari, S.Pd</t>
  </si>
  <si>
    <t>Vivin Nur Adityasari, S.Pd</t>
  </si>
  <si>
    <t>Riske Devia Darmastuti, S.Kom</t>
  </si>
  <si>
    <t>Wahyu Widia Pangestika, S.Pd</t>
  </si>
  <si>
    <t>Tiara Arum Mustika, S.Pd</t>
  </si>
  <si>
    <t>Hartini, S.Pd</t>
  </si>
  <si>
    <t>Kurnia Syahri Elkaromi, S.Pd</t>
  </si>
  <si>
    <t>Joko Prasetyo, S.Pd</t>
  </si>
  <si>
    <t>Fendi Dwi Raharjo, S.Pd</t>
  </si>
  <si>
    <t>Hesti Vironika, S.Pd</t>
  </si>
  <si>
    <t>Afi Farkhan Masrur, S.Pd.I, M.Pd</t>
  </si>
  <si>
    <t>Menu Utama</t>
  </si>
  <si>
    <t>Cat Akademik</t>
  </si>
  <si>
    <t>Mitra</t>
  </si>
  <si>
    <t>Lokasi</t>
  </si>
  <si>
    <t>Lama</t>
  </si>
  <si>
    <t>Nilai</t>
  </si>
  <si>
    <t>Ekstra1</t>
  </si>
  <si>
    <t>Ket Ekstra1</t>
  </si>
  <si>
    <t>Ekstra2</t>
  </si>
  <si>
    <t>Ket Ekstra2</t>
  </si>
  <si>
    <t>Ekstra3</t>
  </si>
  <si>
    <t>Ket Ekstra3</t>
  </si>
  <si>
    <t>s</t>
  </si>
  <si>
    <t>i</t>
  </si>
  <si>
    <t>Prestasi1</t>
  </si>
  <si>
    <t>Ket Pres1</t>
  </si>
  <si>
    <t>Prestasi2</t>
  </si>
  <si>
    <t>Ket Pres2</t>
  </si>
  <si>
    <t>Prestasi3</t>
  </si>
  <si>
    <t>Ket Pres3</t>
  </si>
  <si>
    <t>Cat Perkm Kar</t>
  </si>
  <si>
    <t>y8</t>
  </si>
  <si>
    <t>aa8</t>
  </si>
  <si>
    <t>ac8</t>
  </si>
  <si>
    <t>ae</t>
  </si>
  <si>
    <t>ag</t>
  </si>
  <si>
    <t>ai</t>
  </si>
  <si>
    <t>ak</t>
  </si>
  <si>
    <t>am</t>
  </si>
  <si>
    <t>cukup = 1, baik = 2, sangat baik = 3</t>
  </si>
  <si>
    <t>Perkembangan karakter</t>
  </si>
  <si>
    <t>Pengetahuan</t>
  </si>
  <si>
    <t>Max</t>
  </si>
  <si>
    <t>Indek Max</t>
  </si>
  <si>
    <t>disk Max</t>
  </si>
  <si>
    <t>Min</t>
  </si>
  <si>
    <t>Indek Min</t>
  </si>
  <si>
    <t>disk Min</t>
  </si>
  <si>
    <t>menerapkan Aplikasi web dengan model MVC , framework,  desain aplikasi mobile pengkodean alur program dalam aplikasi dan memahami teknologi pengembangan aplikasi 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</si>
</sst>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0.0"/>
  </numFmts>
  <fonts count="31" x14ac:knownFonts="1">
    <font>
      <sz val="11"/>
      <color rgb="FF000000"/>
      <name val="Calibri"/>
    </font>
    <font>
      <sz val="11"/>
      <color rgb="FF000000"/>
      <name val="Arial Narrow"/>
      <family val="2"/>
    </font>
    <font>
      <b/>
      <i/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u/>
      <sz val="11"/>
      <color rgb="FF0000FF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2"/>
      <color rgb="FF000000"/>
      <name val="Arial Narrow"/>
      <family val="2"/>
    </font>
    <font>
      <sz val="12"/>
      <color theme="1"/>
      <name val="Arial Narrow"/>
      <family val="2"/>
    </font>
    <font>
      <b/>
      <i/>
      <u/>
      <sz val="11"/>
      <color rgb="FF0000FF"/>
      <name val="Calibri"/>
      <family val="2"/>
    </font>
    <font>
      <u/>
      <sz val="11"/>
      <color rgb="FF0000FF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Arial Narrow"/>
      <family val="2"/>
      <charset val="1"/>
    </font>
    <font>
      <sz val="11"/>
      <color theme="0"/>
      <name val="Calibri"/>
      <family val="2"/>
    </font>
    <font>
      <sz val="11"/>
      <color theme="0"/>
      <name val="Arial Narrow"/>
      <family val="2"/>
      <charset val="1"/>
    </font>
    <font>
      <sz val="11"/>
      <color theme="0"/>
      <name val="Calibri"/>
      <family val="2"/>
      <charset val="1"/>
    </font>
    <font>
      <sz val="11"/>
      <color theme="1"/>
      <name val="Arial Narrow"/>
      <family val="2"/>
    </font>
    <font>
      <b/>
      <i/>
      <sz val="11"/>
      <name val="Calibri"/>
      <family val="2"/>
      <scheme val="minor"/>
    </font>
    <font>
      <sz val="11"/>
      <name val="Arial Narrow"/>
      <family val="2"/>
    </font>
    <font>
      <i/>
      <u/>
      <sz val="11"/>
      <name val="Calibri"/>
      <family val="2"/>
      <scheme val="minor"/>
    </font>
    <font>
      <i/>
      <sz val="11"/>
      <name val="Arial Narrow"/>
      <family val="2"/>
    </font>
    <font>
      <b/>
      <i/>
      <sz val="11"/>
      <name val="Calibri"/>
      <family val="2"/>
    </font>
    <font>
      <b/>
      <sz val="11"/>
      <name val="Calibri"/>
      <family val="2"/>
      <scheme val="minor"/>
    </font>
    <font>
      <i/>
      <u/>
      <sz val="11"/>
      <name val="Calibri"/>
      <family val="2"/>
    </font>
    <font>
      <i/>
      <sz val="11"/>
      <name val="Calibri"/>
      <family val="2"/>
      <scheme val="minor"/>
    </font>
    <font>
      <i/>
      <sz val="11"/>
      <color rgb="FF0070C0"/>
      <name val="Calibri"/>
      <family val="2"/>
    </font>
    <font>
      <sz val="11"/>
      <color rgb="FF0070C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B0F0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164" fontId="14" fillId="0" borderId="0" applyFon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1" xfId="0" applyFont="1" applyBorder="1"/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5" borderId="3" xfId="0" applyFill="1" applyBorder="1"/>
    <xf numFmtId="0" fontId="0" fillId="4" borderId="1" xfId="0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8" fillId="0" borderId="0" xfId="0" applyFont="1"/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0" fillId="2" borderId="1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4" xfId="0" applyFill="1" applyBorder="1"/>
    <xf numFmtId="0" fontId="0" fillId="0" borderId="25" xfId="0" applyBorder="1" applyAlignment="1">
      <alignment horizontal="center" vertical="center"/>
    </xf>
    <xf numFmtId="0" fontId="0" fillId="5" borderId="2" xfId="0" applyFill="1" applyBorder="1"/>
    <xf numFmtId="0" fontId="5" fillId="0" borderId="2" xfId="0" applyFont="1" applyBorder="1"/>
    <xf numFmtId="0" fontId="12" fillId="0" borderId="0" xfId="0" applyFont="1"/>
    <xf numFmtId="0" fontId="0" fillId="0" borderId="31" xfId="0" applyBorder="1" applyAlignment="1">
      <alignment horizontal="center" vertical="center"/>
    </xf>
    <xf numFmtId="0" fontId="5" fillId="0" borderId="0" xfId="0" applyFont="1"/>
    <xf numFmtId="0" fontId="0" fillId="0" borderId="2" xfId="0" applyBorder="1"/>
    <xf numFmtId="0" fontId="12" fillId="0" borderId="31" xfId="0" applyFont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11" xfId="0" applyBorder="1"/>
    <xf numFmtId="0" fontId="4" fillId="0" borderId="1" xfId="0" applyFont="1" applyBorder="1" applyAlignment="1">
      <alignment horizontal="left" vertical="center"/>
    </xf>
    <xf numFmtId="0" fontId="12" fillId="0" borderId="31" xfId="0" applyFont="1" applyBorder="1" applyAlignment="1">
      <alignment horizontal="center" vertical="center"/>
    </xf>
    <xf numFmtId="0" fontId="12" fillId="4" borderId="31" xfId="0" applyFont="1" applyFill="1" applyBorder="1" applyAlignment="1">
      <alignment horizontal="center" vertical="center"/>
    </xf>
    <xf numFmtId="0" fontId="15" fillId="3" borderId="31" xfId="0" applyFont="1" applyFill="1" applyBorder="1" applyAlignment="1">
      <alignment horizontal="left" vertical="center"/>
    </xf>
    <xf numFmtId="0" fontId="15" fillId="0" borderId="31" xfId="0" applyFont="1" applyBorder="1"/>
    <xf numFmtId="0" fontId="12" fillId="0" borderId="8" xfId="0" applyFont="1" applyBorder="1" applyAlignment="1">
      <alignment horizontal="center" vertical="center"/>
    </xf>
    <xf numFmtId="0" fontId="12" fillId="6" borderId="31" xfId="0" applyFont="1" applyFill="1" applyBorder="1" applyAlignment="1">
      <alignment vertical="center"/>
    </xf>
    <xf numFmtId="0" fontId="12" fillId="6" borderId="31" xfId="0" applyFont="1" applyFill="1" applyBorder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2" borderId="31" xfId="0" applyFont="1" applyFill="1" applyBorder="1" applyAlignment="1">
      <alignment horizontal="center" vertical="center"/>
    </xf>
    <xf numFmtId="0" fontId="12" fillId="2" borderId="31" xfId="0" applyFont="1" applyFill="1" applyBorder="1"/>
    <xf numFmtId="0" fontId="12" fillId="4" borderId="31" xfId="0" applyFont="1" applyFill="1" applyBorder="1"/>
    <xf numFmtId="0" fontId="12" fillId="3" borderId="31" xfId="0" applyFont="1" applyFill="1" applyBorder="1"/>
    <xf numFmtId="0" fontId="12" fillId="2" borderId="31" xfId="0" applyFont="1" applyFill="1" applyBorder="1" applyAlignment="1">
      <alignment vertical="top"/>
    </xf>
    <xf numFmtId="164" fontId="12" fillId="0" borderId="31" xfId="2" applyFont="1" applyFill="1" applyBorder="1" applyAlignment="1">
      <alignment horizontal="center" vertical="center"/>
    </xf>
    <xf numFmtId="164" fontId="12" fillId="7" borderId="31" xfId="2" applyFont="1" applyFill="1" applyBorder="1" applyAlignment="1">
      <alignment horizontal="center" vertical="center"/>
    </xf>
    <xf numFmtId="165" fontId="12" fillId="2" borderId="31" xfId="0" applyNumberFormat="1" applyFont="1" applyFill="1" applyBorder="1" applyAlignment="1">
      <alignment horizontal="center" vertical="center"/>
    </xf>
    <xf numFmtId="164" fontId="12" fillId="9" borderId="31" xfId="2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1" fillId="0" borderId="7" xfId="0" applyFont="1" applyBorder="1" applyAlignment="1">
      <alignment vertical="top"/>
    </xf>
    <xf numFmtId="0" fontId="0" fillId="0" borderId="10" xfId="0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" fillId="0" borderId="1" xfId="0" applyFont="1" applyBorder="1" applyAlignment="1">
      <alignment vertical="top"/>
    </xf>
    <xf numFmtId="0" fontId="0" fillId="0" borderId="18" xfId="0" applyBorder="1" applyAlignment="1">
      <alignment horizontal="center" vertical="top"/>
    </xf>
    <xf numFmtId="0" fontId="1" fillId="0" borderId="18" xfId="0" applyFont="1" applyBorder="1" applyAlignment="1">
      <alignment vertical="top"/>
    </xf>
    <xf numFmtId="0" fontId="0" fillId="0" borderId="19" xfId="0" applyBorder="1" applyAlignment="1">
      <alignment horizontal="center" vertical="top"/>
    </xf>
    <xf numFmtId="0" fontId="1" fillId="0" borderId="22" xfId="0" applyFont="1" applyBorder="1" applyAlignment="1">
      <alignment horizontal="left" vertical="top"/>
    </xf>
    <xf numFmtId="0" fontId="0" fillId="0" borderId="22" xfId="0" applyBorder="1" applyAlignment="1">
      <alignment horizontal="center" vertical="top"/>
    </xf>
    <xf numFmtId="0" fontId="1" fillId="0" borderId="26" xfId="0" applyFont="1" applyBorder="1" applyAlignment="1">
      <alignment vertical="top"/>
    </xf>
    <xf numFmtId="0" fontId="0" fillId="0" borderId="27" xfId="0" applyBorder="1" applyAlignment="1">
      <alignment horizontal="center" vertical="top"/>
    </xf>
    <xf numFmtId="0" fontId="1" fillId="0" borderId="22" xfId="0" applyFont="1" applyBorder="1" applyAlignment="1">
      <alignment vertical="top"/>
    </xf>
    <xf numFmtId="0" fontId="1" fillId="0" borderId="23" xfId="0" applyFont="1" applyBorder="1" applyAlignment="1">
      <alignment horizontal="center" vertical="top"/>
    </xf>
    <xf numFmtId="0" fontId="1" fillId="0" borderId="22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1" fillId="0" borderId="4" xfId="0" applyFont="1" applyBorder="1" applyAlignment="1">
      <alignment vertical="top"/>
    </xf>
    <xf numFmtId="0" fontId="3" fillId="7" borderId="3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7" xfId="0" applyFont="1" applyBorder="1" applyAlignment="1">
      <alignment horizontal="left" vertical="top"/>
    </xf>
    <xf numFmtId="0" fontId="17" fillId="0" borderId="7" xfId="0" applyFont="1" applyBorder="1" applyAlignment="1">
      <alignment horizontal="center" vertical="top"/>
    </xf>
    <xf numFmtId="0" fontId="18" fillId="0" borderId="7" xfId="0" applyFont="1" applyBorder="1" applyAlignment="1">
      <alignment vertical="top"/>
    </xf>
    <xf numFmtId="0" fontId="18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0" fontId="18" fillId="0" borderId="18" xfId="0" applyFont="1" applyBorder="1" applyAlignment="1">
      <alignment horizontal="left" vertical="top"/>
    </xf>
    <xf numFmtId="0" fontId="17" fillId="0" borderId="18" xfId="0" applyFont="1" applyBorder="1" applyAlignment="1">
      <alignment horizontal="center" vertical="top"/>
    </xf>
    <xf numFmtId="0" fontId="18" fillId="0" borderId="18" xfId="0" applyFont="1" applyBorder="1" applyAlignment="1">
      <alignment vertical="top"/>
    </xf>
    <xf numFmtId="0" fontId="17" fillId="0" borderId="21" xfId="0" applyFont="1" applyBorder="1" applyAlignment="1">
      <alignment horizontal="center" vertical="top"/>
    </xf>
    <xf numFmtId="0" fontId="18" fillId="0" borderId="22" xfId="0" applyFont="1" applyBorder="1" applyAlignment="1">
      <alignment horizontal="left" vertical="top"/>
    </xf>
    <xf numFmtId="0" fontId="18" fillId="0" borderId="26" xfId="0" applyFont="1" applyBorder="1" applyAlignment="1">
      <alignment horizontal="left" vertical="top"/>
    </xf>
    <xf numFmtId="0" fontId="17" fillId="0" borderId="26" xfId="0" applyFont="1" applyBorder="1" applyAlignment="1">
      <alignment horizontal="center" vertical="top"/>
    </xf>
    <xf numFmtId="0" fontId="18" fillId="0" borderId="26" xfId="0" applyFont="1" applyBorder="1" applyAlignment="1">
      <alignment vertical="top"/>
    </xf>
    <xf numFmtId="0" fontId="17" fillId="0" borderId="22" xfId="0" applyFont="1" applyBorder="1" applyAlignment="1">
      <alignment horizontal="center" vertical="top"/>
    </xf>
    <xf numFmtId="0" fontId="18" fillId="0" borderId="22" xfId="0" applyFont="1" applyBorder="1" applyAlignment="1">
      <alignment vertical="top"/>
    </xf>
    <xf numFmtId="0" fontId="19" fillId="0" borderId="1" xfId="0" applyFont="1" applyBorder="1" applyAlignment="1">
      <alignment horizontal="center" vertical="top"/>
    </xf>
    <xf numFmtId="0" fontId="0" fillId="0" borderId="8" xfId="0" applyBorder="1" applyAlignment="1">
      <alignment horizontal="left" vertical="center"/>
    </xf>
    <xf numFmtId="0" fontId="0" fillId="0" borderId="31" xfId="0" applyBorder="1"/>
    <xf numFmtId="0" fontId="0" fillId="0" borderId="2" xfId="0" applyBorder="1" applyAlignment="1">
      <alignment horizontal="left" vertical="center"/>
    </xf>
    <xf numFmtId="0" fontId="0" fillId="0" borderId="28" xfId="0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right"/>
    </xf>
    <xf numFmtId="0" fontId="20" fillId="0" borderId="31" xfId="0" quotePrefix="1" applyFont="1" applyBorder="1" applyAlignment="1">
      <alignment vertical="center"/>
    </xf>
    <xf numFmtId="0" fontId="20" fillId="0" borderId="31" xfId="0" applyFont="1" applyBorder="1" applyAlignment="1">
      <alignment horizontal="center" vertical="center"/>
    </xf>
    <xf numFmtId="0" fontId="20" fillId="0" borderId="31" xfId="0" applyFont="1" applyBorder="1" applyAlignment="1">
      <alignment vertical="center"/>
    </xf>
    <xf numFmtId="0" fontId="20" fillId="0" borderId="31" xfId="0" applyFont="1" applyBorder="1"/>
    <xf numFmtId="0" fontId="20" fillId="0" borderId="31" xfId="0" quotePrefix="1" applyFont="1" applyBorder="1" applyAlignment="1">
      <alignment horizontal="center" vertical="center"/>
    </xf>
    <xf numFmtId="0" fontId="20" fillId="0" borderId="31" xfId="0" quotePrefix="1" applyFont="1" applyBorder="1"/>
    <xf numFmtId="0" fontId="20" fillId="0" borderId="31" xfId="0" applyFont="1" applyBorder="1" applyAlignment="1">
      <alignment horizontal="center"/>
    </xf>
    <xf numFmtId="0" fontId="20" fillId="0" borderId="31" xfId="0" applyFont="1" applyBorder="1" applyAlignment="1">
      <alignment horizontal="left" vertical="center"/>
    </xf>
    <xf numFmtId="0" fontId="20" fillId="8" borderId="31" xfId="0" applyFont="1" applyFill="1" applyBorder="1"/>
    <xf numFmtId="0" fontId="0" fillId="0" borderId="31" xfId="0" applyBorder="1" applyAlignment="1">
      <alignment horizontal="center" vertical="top"/>
    </xf>
    <xf numFmtId="0" fontId="17" fillId="0" borderId="33" xfId="0" applyFont="1" applyBorder="1"/>
    <xf numFmtId="0" fontId="17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0" xfId="0" applyFont="1" applyBorder="1" applyAlignment="1">
      <alignment horizontal="center" vertical="top"/>
    </xf>
    <xf numFmtId="0" fontId="1" fillId="0" borderId="41" xfId="0" applyFont="1" applyBorder="1" applyAlignment="1">
      <alignment vertical="top"/>
    </xf>
    <xf numFmtId="0" fontId="17" fillId="0" borderId="38" xfId="0" applyFont="1" applyBorder="1" applyAlignment="1">
      <alignment horizontal="center" vertical="top"/>
    </xf>
    <xf numFmtId="0" fontId="1" fillId="0" borderId="39" xfId="0" applyFont="1" applyBorder="1" applyAlignment="1">
      <alignment horizontal="left" vertical="top"/>
    </xf>
    <xf numFmtId="0" fontId="1" fillId="0" borderId="39" xfId="0" applyFont="1" applyBorder="1" applyAlignment="1">
      <alignment vertical="top"/>
    </xf>
    <xf numFmtId="0" fontId="17" fillId="0" borderId="42" xfId="0" applyFont="1" applyBorder="1" applyAlignment="1">
      <alignment horizontal="center" vertical="top"/>
    </xf>
    <xf numFmtId="0" fontId="1" fillId="0" borderId="43" xfId="0" applyFont="1" applyBorder="1" applyAlignment="1">
      <alignment vertical="top"/>
    </xf>
    <xf numFmtId="0" fontId="17" fillId="0" borderId="44" xfId="0" applyFont="1" applyBorder="1" applyAlignment="1">
      <alignment horizontal="center" vertical="top"/>
    </xf>
    <xf numFmtId="0" fontId="1" fillId="0" borderId="45" xfId="0" applyFont="1" applyBorder="1" applyAlignment="1">
      <alignment vertical="top"/>
    </xf>
    <xf numFmtId="0" fontId="17" fillId="0" borderId="46" xfId="0" applyFont="1" applyBorder="1" applyAlignment="1">
      <alignment horizontal="center" vertical="top"/>
    </xf>
    <xf numFmtId="0" fontId="1" fillId="0" borderId="47" xfId="0" applyFont="1" applyBorder="1" applyAlignment="1">
      <alignment vertical="top"/>
    </xf>
    <xf numFmtId="0" fontId="19" fillId="0" borderId="38" xfId="0" applyFont="1" applyBorder="1" applyAlignment="1">
      <alignment horizontal="center" vertical="top"/>
    </xf>
    <xf numFmtId="0" fontId="17" fillId="0" borderId="48" xfId="0" applyFont="1" applyBorder="1" applyAlignment="1">
      <alignment horizontal="center" vertical="top"/>
    </xf>
    <xf numFmtId="0" fontId="18" fillId="0" borderId="49" xfId="0" applyFont="1" applyBorder="1" applyAlignment="1">
      <alignment vertical="top"/>
    </xf>
    <xf numFmtId="0" fontId="18" fillId="0" borderId="49" xfId="0" applyFont="1" applyBorder="1" applyAlignment="1">
      <alignment horizontal="center" vertical="top"/>
    </xf>
    <xf numFmtId="0" fontId="1" fillId="0" borderId="50" xfId="0" applyFont="1" applyBorder="1" applyAlignment="1">
      <alignment vertical="top"/>
    </xf>
    <xf numFmtId="0" fontId="1" fillId="0" borderId="49" xfId="0" applyFont="1" applyBorder="1" applyAlignment="1">
      <alignment vertical="top"/>
    </xf>
    <xf numFmtId="0" fontId="1" fillId="0" borderId="52" xfId="0" applyFont="1" applyBorder="1" applyAlignment="1">
      <alignment vertical="top"/>
    </xf>
    <xf numFmtId="0" fontId="17" fillId="0" borderId="36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8" fillId="0" borderId="9" xfId="0" applyFont="1" applyBorder="1" applyAlignment="1">
      <alignment vertical="top"/>
    </xf>
    <xf numFmtId="0" fontId="18" fillId="0" borderId="3" xfId="0" applyFont="1" applyBorder="1" applyAlignment="1">
      <alignment horizontal="left" vertical="top"/>
    </xf>
    <xf numFmtId="0" fontId="18" fillId="0" borderId="3" xfId="0" applyFont="1" applyBorder="1" applyAlignment="1">
      <alignment vertical="top"/>
    </xf>
    <xf numFmtId="0" fontId="18" fillId="0" borderId="17" xfId="0" applyFont="1" applyBorder="1" applyAlignment="1">
      <alignment vertical="top"/>
    </xf>
    <xf numFmtId="0" fontId="18" fillId="0" borderId="20" xfId="0" applyFont="1" applyBorder="1" applyAlignment="1">
      <alignment horizontal="left" vertical="top"/>
    </xf>
    <xf numFmtId="0" fontId="18" fillId="0" borderId="25" xfId="0" applyFont="1" applyBorder="1" applyAlignment="1">
      <alignment vertical="top"/>
    </xf>
    <xf numFmtId="0" fontId="18" fillId="0" borderId="20" xfId="0" applyFont="1" applyBorder="1" applyAlignment="1">
      <alignment vertical="top"/>
    </xf>
    <xf numFmtId="0" fontId="18" fillId="0" borderId="51" xfId="0" applyFont="1" applyBorder="1" applyAlignment="1">
      <alignment vertical="top"/>
    </xf>
    <xf numFmtId="0" fontId="0" fillId="0" borderId="23" xfId="0" applyBorder="1" applyAlignment="1">
      <alignment horizontal="center" vertical="top"/>
    </xf>
    <xf numFmtId="0" fontId="0" fillId="0" borderId="3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 vertical="top"/>
    </xf>
    <xf numFmtId="0" fontId="0" fillId="0" borderId="38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0" fillId="0" borderId="44" xfId="0" applyBorder="1" applyAlignment="1">
      <alignment horizontal="center" vertical="top"/>
    </xf>
    <xf numFmtId="0" fontId="1" fillId="0" borderId="45" xfId="0" applyFont="1" applyBorder="1" applyAlignment="1">
      <alignment horizontal="left" vertical="top"/>
    </xf>
    <xf numFmtId="0" fontId="0" fillId="0" borderId="46" xfId="0" applyBorder="1" applyAlignment="1">
      <alignment horizontal="center" vertical="top"/>
    </xf>
    <xf numFmtId="0" fontId="1" fillId="0" borderId="44" xfId="0" applyFont="1" applyBorder="1" applyAlignment="1">
      <alignment horizontal="center" vertical="top"/>
    </xf>
    <xf numFmtId="0" fontId="1" fillId="0" borderId="38" xfId="0" applyFont="1" applyBorder="1" applyAlignment="1">
      <alignment horizontal="center" vertical="top"/>
    </xf>
    <xf numFmtId="0" fontId="1" fillId="0" borderId="38" xfId="0" applyFont="1" applyBorder="1" applyAlignment="1">
      <alignment vertical="top"/>
    </xf>
    <xf numFmtId="0" fontId="1" fillId="0" borderId="48" xfId="0" applyFont="1" applyBorder="1" applyAlignment="1">
      <alignment vertical="top"/>
    </xf>
    <xf numFmtId="0" fontId="18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center" vertical="top"/>
    </xf>
    <xf numFmtId="0" fontId="18" fillId="0" borderId="8" xfId="0" applyFont="1" applyBorder="1" applyAlignment="1">
      <alignment vertical="top"/>
    </xf>
    <xf numFmtId="0" fontId="17" fillId="0" borderId="31" xfId="0" applyFont="1" applyBorder="1" applyAlignment="1">
      <alignment horizontal="center" vertical="top"/>
    </xf>
    <xf numFmtId="0" fontId="18" fillId="0" borderId="31" xfId="0" applyFont="1" applyBorder="1" applyAlignment="1">
      <alignment horizontal="left" vertical="top"/>
    </xf>
    <xf numFmtId="0" fontId="21" fillId="2" borderId="31" xfId="0" applyFont="1" applyFill="1" applyBorder="1" applyAlignment="1">
      <alignment horizontal="center" vertical="center" wrapText="1"/>
    </xf>
    <xf numFmtId="0" fontId="21" fillId="2" borderId="32" xfId="0" applyFont="1" applyFill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2" xfId="0" applyFont="1" applyBorder="1"/>
    <xf numFmtId="0" fontId="22" fillId="0" borderId="2" xfId="0" applyFont="1" applyBorder="1"/>
    <xf numFmtId="0" fontId="22" fillId="0" borderId="0" xfId="0" applyFont="1"/>
    <xf numFmtId="0" fontId="5" fillId="0" borderId="32" xfId="0" applyFont="1" applyBorder="1"/>
    <xf numFmtId="0" fontId="15" fillId="0" borderId="31" xfId="0" applyFont="1" applyBorder="1" applyAlignment="1">
      <alignment horizontal="center" vertical="center"/>
    </xf>
    <xf numFmtId="0" fontId="23" fillId="0" borderId="2" xfId="1" applyFont="1" applyFill="1" applyBorder="1" applyAlignment="1">
      <alignment horizontal="center"/>
    </xf>
    <xf numFmtId="0" fontId="21" fillId="0" borderId="2" xfId="0" applyFont="1" applyBorder="1"/>
    <xf numFmtId="0" fontId="23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wrapText="1"/>
    </xf>
    <xf numFmtId="0" fontId="23" fillId="0" borderId="2" xfId="1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3" borderId="1" xfId="0" applyFont="1" applyFill="1" applyBorder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0" fontId="5" fillId="0" borderId="31" xfId="0" applyFont="1" applyBorder="1"/>
    <xf numFmtId="0" fontId="5" fillId="0" borderId="0" xfId="0" applyFont="1" applyAlignment="1">
      <alignment horizontal="left" vertical="center"/>
    </xf>
    <xf numFmtId="0" fontId="21" fillId="2" borderId="8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top"/>
    </xf>
    <xf numFmtId="0" fontId="22" fillId="0" borderId="2" xfId="0" applyFont="1" applyBorder="1" applyAlignment="1">
      <alignment vertical="top"/>
    </xf>
    <xf numFmtId="0" fontId="24" fillId="0" borderId="2" xfId="0" applyFont="1" applyBorder="1" applyAlignment="1">
      <alignment vertical="top"/>
    </xf>
    <xf numFmtId="0" fontId="21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25" fillId="0" borderId="2" xfId="0" applyFont="1" applyBorder="1" applyAlignment="1">
      <alignment horizontal="center" vertical="top"/>
    </xf>
    <xf numFmtId="0" fontId="26" fillId="0" borderId="2" xfId="0" applyFont="1" applyBorder="1" applyAlignment="1">
      <alignment vertical="top" textRotation="90"/>
    </xf>
    <xf numFmtId="0" fontId="15" fillId="0" borderId="2" xfId="0" applyFont="1" applyBorder="1" applyAlignment="1">
      <alignment horizontal="center" vertical="top"/>
    </xf>
    <xf numFmtId="0" fontId="27" fillId="0" borderId="2" xfId="0" applyFont="1" applyBorder="1" applyAlignment="1">
      <alignment horizontal="center" vertical="top"/>
    </xf>
    <xf numFmtId="0" fontId="28" fillId="0" borderId="2" xfId="0" applyFont="1" applyBorder="1" applyAlignment="1">
      <alignment horizontal="center" vertical="top"/>
    </xf>
    <xf numFmtId="0" fontId="27" fillId="0" borderId="2" xfId="1" applyFont="1" applyFill="1" applyBorder="1" applyAlignment="1">
      <alignment horizontal="center" vertical="top"/>
    </xf>
    <xf numFmtId="0" fontId="26" fillId="0" borderId="2" xfId="0" applyFont="1" applyBorder="1" applyAlignment="1">
      <alignment horizontal="center" vertical="top"/>
    </xf>
    <xf numFmtId="0" fontId="15" fillId="2" borderId="1" xfId="0" applyFont="1" applyFill="1" applyBorder="1"/>
    <xf numFmtId="0" fontId="2" fillId="2" borderId="31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0" fontId="16" fillId="6" borderId="31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5" fillId="3" borderId="31" xfId="0" applyFont="1" applyFill="1" applyBorder="1" applyAlignment="1">
      <alignment horizontal="center" vertical="center"/>
    </xf>
    <xf numFmtId="0" fontId="12" fillId="2" borderId="53" xfId="0" applyFont="1" applyFill="1" applyBorder="1" applyAlignment="1">
      <alignment horizontal="center" vertical="center"/>
    </xf>
    <xf numFmtId="0" fontId="12" fillId="2" borderId="53" xfId="0" applyFont="1" applyFill="1" applyBorder="1"/>
    <xf numFmtId="165" fontId="2" fillId="2" borderId="53" xfId="0" applyNumberFormat="1" applyFont="1" applyFill="1" applyBorder="1" applyAlignment="1">
      <alignment horizontal="center" vertical="center"/>
    </xf>
    <xf numFmtId="165" fontId="2" fillId="2" borderId="31" xfId="0" applyNumberFormat="1" applyFont="1" applyFill="1" applyBorder="1" applyAlignment="1">
      <alignment horizontal="center" vertical="center"/>
    </xf>
    <xf numFmtId="2" fontId="2" fillId="2" borderId="31" xfId="0" applyNumberFormat="1" applyFont="1" applyFill="1" applyBorder="1" applyAlignment="1">
      <alignment horizontal="center" vertical="center"/>
    </xf>
    <xf numFmtId="0" fontId="30" fillId="0" borderId="0" xfId="0" applyFont="1"/>
    <xf numFmtId="0" fontId="13" fillId="0" borderId="0" xfId="1"/>
    <xf numFmtId="0" fontId="0" fillId="3" borderId="31" xfId="0" applyFill="1" applyBorder="1"/>
    <xf numFmtId="0" fontId="0" fillId="2" borderId="15" xfId="0" applyFill="1" applyBorder="1" applyAlignment="1">
      <alignment horizontal="center" vertical="center" textRotation="90" wrapText="1"/>
    </xf>
    <xf numFmtId="0" fontId="5" fillId="0" borderId="15" xfId="0" applyFont="1" applyBorder="1"/>
    <xf numFmtId="0" fontId="5" fillId="0" borderId="16" xfId="0" applyFont="1" applyBorder="1"/>
    <xf numFmtId="0" fontId="0" fillId="2" borderId="13" xfId="0" applyFill="1" applyBorder="1" applyAlignment="1">
      <alignment horizontal="center" vertical="center" textRotation="90" wrapText="1"/>
    </xf>
    <xf numFmtId="0" fontId="3" fillId="6" borderId="31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/>
    </xf>
    <xf numFmtId="0" fontId="12" fillId="7" borderId="31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12" fillId="0" borderId="3" xfId="0" applyFont="1" applyBorder="1"/>
    <xf numFmtId="0" fontId="5" fillId="0" borderId="4" xfId="0" applyFont="1" applyBorder="1"/>
    <xf numFmtId="0" fontId="3" fillId="7" borderId="31" xfId="0" applyFont="1" applyFill="1" applyBorder="1" applyAlignment="1">
      <alignment horizontal="center" vertical="center"/>
    </xf>
    <xf numFmtId="0" fontId="5" fillId="6" borderId="31" xfId="0" applyFont="1" applyFill="1" applyBorder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8" xfId="0" applyFont="1" applyBorder="1" applyAlignment="1">
      <alignment horizontal="center" vertical="center"/>
    </xf>
    <xf numFmtId="0" fontId="5" fillId="0" borderId="5" xfId="0" applyFont="1" applyBorder="1"/>
    <xf numFmtId="0" fontId="5" fillId="0" borderId="7" xfId="0" applyFont="1" applyBorder="1"/>
    <xf numFmtId="0" fontId="12" fillId="0" borderId="8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0" fillId="0" borderId="0" xfId="0"/>
    <xf numFmtId="0" fontId="6" fillId="0" borderId="3" xfId="0" applyFont="1" applyBorder="1" applyAlignment="1">
      <alignment horizontal="center" vertical="center" wrapText="1"/>
    </xf>
    <xf numFmtId="0" fontId="5" fillId="0" borderId="6" xfId="0" applyFont="1" applyBorder="1"/>
    <xf numFmtId="0" fontId="12" fillId="0" borderId="6" xfId="0" applyFont="1" applyBorder="1" applyAlignment="1">
      <alignment vertical="center"/>
    </xf>
    <xf numFmtId="0" fontId="12" fillId="0" borderId="6" xfId="0" applyFont="1" applyBorder="1"/>
    <xf numFmtId="0" fontId="3" fillId="0" borderId="12" xfId="0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</cellXfs>
  <cellStyles count="3">
    <cellStyle name="Comma [0]" xfId="2" builtinId="6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forms.office.com/r/xxn44Q5rfZ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U1000"/>
  <sheetViews>
    <sheetView zoomScaleNormal="100" workbookViewId="0">
      <selection activeCell="I20" sqref="I20"/>
    </sheetView>
  </sheetViews>
  <sheetFormatPr defaultColWidth="14.42578125" defaultRowHeight="15" customHeight="1" x14ac:dyDescent="0.25"/>
  <cols>
    <col min="1" max="20" width="8.7109375" customWidth="1"/>
  </cols>
  <sheetData>
    <row r="1" spans="1:21" x14ac:dyDescent="0.25">
      <c r="A1" s="27" t="s">
        <v>0</v>
      </c>
      <c r="B1" s="45"/>
      <c r="C1" s="122"/>
      <c r="D1" s="123" t="s">
        <v>1</v>
      </c>
      <c r="E1" s="123"/>
      <c r="F1" s="123" t="s">
        <v>2</v>
      </c>
      <c r="G1" s="123"/>
      <c r="H1" s="147" t="s">
        <v>3</v>
      </c>
      <c r="I1" s="158"/>
      <c r="J1" s="125" t="s">
        <v>4</v>
      </c>
      <c r="K1" s="125"/>
      <c r="L1" s="125" t="s">
        <v>5</v>
      </c>
      <c r="M1" s="125"/>
      <c r="N1" s="126" t="s">
        <v>6</v>
      </c>
      <c r="O1" s="124"/>
      <c r="P1" s="125" t="s">
        <v>7</v>
      </c>
      <c r="Q1" s="125"/>
      <c r="R1" s="125" t="s">
        <v>8</v>
      </c>
      <c r="S1" s="125"/>
      <c r="T1" s="126" t="s">
        <v>9</v>
      </c>
    </row>
    <row r="2" spans="1:21" x14ac:dyDescent="0.25">
      <c r="A2" s="28"/>
      <c r="B2" s="42"/>
      <c r="C2" s="127">
        <v>1</v>
      </c>
      <c r="D2" s="88">
        <v>2</v>
      </c>
      <c r="E2" s="88">
        <v>3</v>
      </c>
      <c r="F2" s="88">
        <v>4</v>
      </c>
      <c r="G2" s="88">
        <v>5</v>
      </c>
      <c r="H2" s="148">
        <v>6</v>
      </c>
      <c r="I2" s="159">
        <v>7</v>
      </c>
      <c r="J2" s="3">
        <v>8</v>
      </c>
      <c r="K2" s="3">
        <v>9</v>
      </c>
      <c r="L2" s="3">
        <v>10</v>
      </c>
      <c r="M2" s="3">
        <v>11</v>
      </c>
      <c r="N2" s="128">
        <v>12</v>
      </c>
      <c r="O2" s="29">
        <v>13</v>
      </c>
      <c r="P2" s="3">
        <v>14</v>
      </c>
      <c r="Q2" s="3">
        <v>15</v>
      </c>
      <c r="R2" s="3">
        <v>16</v>
      </c>
      <c r="S2" s="3">
        <v>17</v>
      </c>
      <c r="T2" s="128">
        <v>18</v>
      </c>
      <c r="U2" s="37" t="s">
        <v>10</v>
      </c>
    </row>
    <row r="3" spans="1:21" ht="16.5" x14ac:dyDescent="0.25">
      <c r="A3" s="227" t="s">
        <v>11</v>
      </c>
      <c r="B3" s="30">
        <v>1</v>
      </c>
      <c r="C3" s="129" t="s">
        <v>12</v>
      </c>
      <c r="D3" s="89" t="s">
        <v>13</v>
      </c>
      <c r="E3" s="90" t="s">
        <v>12</v>
      </c>
      <c r="F3" s="91" t="s">
        <v>13</v>
      </c>
      <c r="G3" s="90" t="s">
        <v>12</v>
      </c>
      <c r="H3" s="149" t="s">
        <v>13</v>
      </c>
      <c r="I3" s="160" t="s">
        <v>12</v>
      </c>
      <c r="J3" s="68" t="s">
        <v>13</v>
      </c>
      <c r="K3" s="67" t="s">
        <v>12</v>
      </c>
      <c r="L3" s="68" t="s">
        <v>13</v>
      </c>
      <c r="M3" s="67" t="s">
        <v>12</v>
      </c>
      <c r="N3" s="130" t="s">
        <v>13</v>
      </c>
      <c r="O3" s="69" t="s">
        <v>12</v>
      </c>
      <c r="P3" s="68" t="s">
        <v>13</v>
      </c>
      <c r="Q3" s="67" t="s">
        <v>12</v>
      </c>
      <c r="R3" s="68" t="s">
        <v>13</v>
      </c>
      <c r="S3" s="67" t="s">
        <v>12</v>
      </c>
      <c r="T3" s="130" t="s">
        <v>13</v>
      </c>
      <c r="U3" s="37" t="s">
        <v>10</v>
      </c>
    </row>
    <row r="4" spans="1:21" ht="16.5" x14ac:dyDescent="0.25">
      <c r="A4" s="228"/>
      <c r="B4" s="43">
        <v>2</v>
      </c>
      <c r="C4" s="131" t="s">
        <v>12</v>
      </c>
      <c r="D4" s="92" t="s">
        <v>14</v>
      </c>
      <c r="E4" s="93" t="s">
        <v>12</v>
      </c>
      <c r="F4" s="92" t="s">
        <v>14</v>
      </c>
      <c r="G4" s="93" t="s">
        <v>12</v>
      </c>
      <c r="H4" s="150" t="s">
        <v>14</v>
      </c>
      <c r="I4" s="161" t="s">
        <v>12</v>
      </c>
      <c r="J4" s="70" t="s">
        <v>14</v>
      </c>
      <c r="K4" s="71" t="s">
        <v>12</v>
      </c>
      <c r="L4" s="70" t="s">
        <v>14</v>
      </c>
      <c r="M4" s="71" t="s">
        <v>12</v>
      </c>
      <c r="N4" s="132" t="s">
        <v>14</v>
      </c>
      <c r="O4" s="72" t="s">
        <v>12</v>
      </c>
      <c r="P4" s="70" t="s">
        <v>14</v>
      </c>
      <c r="Q4" s="71" t="s">
        <v>12</v>
      </c>
      <c r="R4" s="70" t="s">
        <v>14</v>
      </c>
      <c r="S4" s="71" t="s">
        <v>12</v>
      </c>
      <c r="T4" s="132" t="s">
        <v>14</v>
      </c>
      <c r="U4" s="37" t="s">
        <v>10</v>
      </c>
    </row>
    <row r="5" spans="1:21" ht="16.5" x14ac:dyDescent="0.25">
      <c r="A5" s="228"/>
      <c r="B5" s="43">
        <v>3</v>
      </c>
      <c r="C5" s="131" t="s">
        <v>12</v>
      </c>
      <c r="D5" s="92" t="s">
        <v>15</v>
      </c>
      <c r="E5" s="171" t="s">
        <v>12</v>
      </c>
      <c r="F5" s="172" t="s">
        <v>15</v>
      </c>
      <c r="G5" s="171" t="s">
        <v>12</v>
      </c>
      <c r="H5" s="151" t="s">
        <v>15</v>
      </c>
      <c r="I5" s="161" t="s">
        <v>12</v>
      </c>
      <c r="J5" s="73" t="s">
        <v>16</v>
      </c>
      <c r="K5" s="72" t="s">
        <v>12</v>
      </c>
      <c r="L5" s="73" t="s">
        <v>16</v>
      </c>
      <c r="M5" s="72" t="s">
        <v>12</v>
      </c>
      <c r="N5" s="133" t="s">
        <v>16</v>
      </c>
      <c r="O5" s="72" t="s">
        <v>12</v>
      </c>
      <c r="P5" s="73" t="s">
        <v>16</v>
      </c>
      <c r="Q5" s="72" t="s">
        <v>12</v>
      </c>
      <c r="R5" s="73" t="s">
        <v>16</v>
      </c>
      <c r="S5" s="72" t="s">
        <v>12</v>
      </c>
      <c r="T5" s="133" t="s">
        <v>16</v>
      </c>
      <c r="U5" s="37" t="s">
        <v>10</v>
      </c>
    </row>
    <row r="6" spans="1:21" ht="16.5" x14ac:dyDescent="0.25">
      <c r="A6" s="228"/>
      <c r="B6" s="43">
        <v>4</v>
      </c>
      <c r="C6" s="131" t="s">
        <v>12</v>
      </c>
      <c r="D6" s="150" t="s">
        <v>17</v>
      </c>
      <c r="E6" s="173" t="s">
        <v>12</v>
      </c>
      <c r="F6" s="174" t="s">
        <v>17</v>
      </c>
      <c r="G6" s="173" t="s">
        <v>12</v>
      </c>
      <c r="H6" s="170" t="s">
        <v>17</v>
      </c>
      <c r="I6" s="161" t="s">
        <v>12</v>
      </c>
      <c r="J6" s="70" t="s">
        <v>17</v>
      </c>
      <c r="K6" s="65" t="s">
        <v>12</v>
      </c>
      <c r="L6" s="70" t="s">
        <v>17</v>
      </c>
      <c r="M6" s="65" t="s">
        <v>12</v>
      </c>
      <c r="N6" s="132" t="s">
        <v>17</v>
      </c>
      <c r="O6" s="72" t="s">
        <v>12</v>
      </c>
      <c r="P6" s="70" t="s">
        <v>17</v>
      </c>
      <c r="Q6" s="65" t="s">
        <v>12</v>
      </c>
      <c r="R6" s="70" t="s">
        <v>17</v>
      </c>
      <c r="S6" s="65" t="s">
        <v>12</v>
      </c>
      <c r="T6" s="132" t="s">
        <v>17</v>
      </c>
      <c r="U6" s="37" t="s">
        <v>10</v>
      </c>
    </row>
    <row r="7" spans="1:21" ht="16.5" x14ac:dyDescent="0.25">
      <c r="A7" s="228"/>
      <c r="B7" s="43">
        <v>5</v>
      </c>
      <c r="C7" s="131" t="s">
        <v>12</v>
      </c>
      <c r="D7" s="92" t="s">
        <v>18</v>
      </c>
      <c r="E7" s="90" t="s">
        <v>12</v>
      </c>
      <c r="F7" s="91" t="s">
        <v>18</v>
      </c>
      <c r="G7" s="90" t="s">
        <v>12</v>
      </c>
      <c r="H7" s="151" t="s">
        <v>18</v>
      </c>
      <c r="I7" s="161" t="s">
        <v>10</v>
      </c>
      <c r="J7" s="73" t="s">
        <v>10</v>
      </c>
      <c r="K7" s="71" t="s">
        <v>10</v>
      </c>
      <c r="L7" s="73" t="s">
        <v>10</v>
      </c>
      <c r="M7" s="71" t="s">
        <v>10</v>
      </c>
      <c r="N7" s="133" t="s">
        <v>10</v>
      </c>
      <c r="O7" s="72" t="s">
        <v>10</v>
      </c>
      <c r="P7" s="73" t="s">
        <v>10</v>
      </c>
      <c r="Q7" s="71" t="s">
        <v>10</v>
      </c>
      <c r="R7" s="73" t="s">
        <v>10</v>
      </c>
      <c r="S7" s="71" t="s">
        <v>10</v>
      </c>
      <c r="T7" s="133" t="s">
        <v>10</v>
      </c>
      <c r="U7" s="37" t="s">
        <v>10</v>
      </c>
    </row>
    <row r="8" spans="1:21" ht="17.25" thickBot="1" x14ac:dyDescent="0.3">
      <c r="A8" s="229"/>
      <c r="B8" s="31">
        <v>6</v>
      </c>
      <c r="C8" s="134" t="s">
        <v>12</v>
      </c>
      <c r="D8" s="95" t="s">
        <v>19</v>
      </c>
      <c r="E8" s="96" t="s">
        <v>12</v>
      </c>
      <c r="F8" s="97" t="s">
        <v>19</v>
      </c>
      <c r="G8" s="96" t="s">
        <v>12</v>
      </c>
      <c r="H8" s="152" t="s">
        <v>19</v>
      </c>
      <c r="I8" s="162" t="s">
        <v>12</v>
      </c>
      <c r="J8" s="75" t="s">
        <v>19</v>
      </c>
      <c r="K8" s="74" t="s">
        <v>12</v>
      </c>
      <c r="L8" s="75" t="s">
        <v>19</v>
      </c>
      <c r="M8" s="74" t="s">
        <v>12</v>
      </c>
      <c r="N8" s="135" t="s">
        <v>19</v>
      </c>
      <c r="O8" s="76" t="s">
        <v>12</v>
      </c>
      <c r="P8" s="75" t="s">
        <v>19</v>
      </c>
      <c r="Q8" s="74" t="s">
        <v>12</v>
      </c>
      <c r="R8" s="75" t="s">
        <v>19</v>
      </c>
      <c r="S8" s="74" t="s">
        <v>12</v>
      </c>
      <c r="T8" s="135" t="s">
        <v>19</v>
      </c>
      <c r="U8" s="37" t="s">
        <v>10</v>
      </c>
    </row>
    <row r="9" spans="1:21" ht="16.5" x14ac:dyDescent="0.25">
      <c r="A9" s="230" t="s">
        <v>20</v>
      </c>
      <c r="B9" s="32">
        <v>7</v>
      </c>
      <c r="C9" s="136" t="s">
        <v>21</v>
      </c>
      <c r="D9" s="99" t="s">
        <v>22</v>
      </c>
      <c r="E9" s="98" t="s">
        <v>21</v>
      </c>
      <c r="F9" s="99" t="s">
        <v>22</v>
      </c>
      <c r="G9" s="98" t="s">
        <v>21</v>
      </c>
      <c r="H9" s="153" t="s">
        <v>22</v>
      </c>
      <c r="I9" s="163" t="s">
        <v>21</v>
      </c>
      <c r="J9" s="77" t="s">
        <v>22</v>
      </c>
      <c r="K9" s="66" t="s">
        <v>21</v>
      </c>
      <c r="L9" s="77" t="s">
        <v>22</v>
      </c>
      <c r="M9" s="66" t="s">
        <v>21</v>
      </c>
      <c r="N9" s="164" t="s">
        <v>22</v>
      </c>
      <c r="O9" s="157" t="s">
        <v>10</v>
      </c>
      <c r="P9" s="78" t="s">
        <v>10</v>
      </c>
      <c r="Q9" s="78" t="s">
        <v>10</v>
      </c>
      <c r="R9" s="78" t="s">
        <v>10</v>
      </c>
      <c r="S9" s="78" t="s">
        <v>10</v>
      </c>
      <c r="T9" s="137" t="s">
        <v>10</v>
      </c>
      <c r="U9" s="37" t="s">
        <v>10</v>
      </c>
    </row>
    <row r="10" spans="1:21" ht="16.5" x14ac:dyDescent="0.25">
      <c r="A10" s="228"/>
      <c r="B10" s="43">
        <v>8</v>
      </c>
      <c r="C10" s="131" t="s">
        <v>21</v>
      </c>
      <c r="D10" s="92" t="s">
        <v>23</v>
      </c>
      <c r="E10" s="93" t="s">
        <v>21</v>
      </c>
      <c r="F10" s="94" t="s">
        <v>23</v>
      </c>
      <c r="G10" s="93" t="s">
        <v>21</v>
      </c>
      <c r="H10" s="151" t="s">
        <v>23</v>
      </c>
      <c r="I10" s="161" t="s">
        <v>10</v>
      </c>
      <c r="J10" s="73" t="s">
        <v>10</v>
      </c>
      <c r="K10" s="71" t="s">
        <v>10</v>
      </c>
      <c r="L10" s="73" t="s">
        <v>10</v>
      </c>
      <c r="M10" s="71" t="s">
        <v>10</v>
      </c>
      <c r="N10" s="133" t="s">
        <v>10</v>
      </c>
      <c r="O10" s="72" t="s">
        <v>10</v>
      </c>
      <c r="P10" s="71" t="s">
        <v>10</v>
      </c>
      <c r="Q10" s="71" t="s">
        <v>10</v>
      </c>
      <c r="R10" s="71" t="s">
        <v>10</v>
      </c>
      <c r="S10" s="71" t="s">
        <v>10</v>
      </c>
      <c r="T10" s="133" t="s">
        <v>10</v>
      </c>
      <c r="U10" s="37" t="s">
        <v>10</v>
      </c>
    </row>
    <row r="11" spans="1:21" ht="17.25" thickBot="1" x14ac:dyDescent="0.3">
      <c r="A11" s="229"/>
      <c r="B11" s="31">
        <v>9</v>
      </c>
      <c r="C11" s="134" t="s">
        <v>10</v>
      </c>
      <c r="D11" s="95" t="s">
        <v>10</v>
      </c>
      <c r="E11" s="96" t="s">
        <v>10</v>
      </c>
      <c r="F11" s="97" t="s">
        <v>10</v>
      </c>
      <c r="G11" s="96" t="s">
        <v>10</v>
      </c>
      <c r="H11" s="152" t="s">
        <v>10</v>
      </c>
      <c r="I11" s="162" t="s">
        <v>10</v>
      </c>
      <c r="J11" s="75" t="s">
        <v>10</v>
      </c>
      <c r="K11" s="74" t="s">
        <v>10</v>
      </c>
      <c r="L11" s="75" t="s">
        <v>10</v>
      </c>
      <c r="M11" s="74" t="s">
        <v>10</v>
      </c>
      <c r="N11" s="135" t="s">
        <v>10</v>
      </c>
      <c r="O11" s="76" t="s">
        <v>10</v>
      </c>
      <c r="P11" s="74" t="s">
        <v>10</v>
      </c>
      <c r="Q11" s="74" t="s">
        <v>10</v>
      </c>
      <c r="R11" s="74" t="s">
        <v>10</v>
      </c>
      <c r="S11" s="74" t="s">
        <v>10</v>
      </c>
      <c r="T11" s="135" t="s">
        <v>10</v>
      </c>
      <c r="U11" s="37" t="s">
        <v>10</v>
      </c>
    </row>
    <row r="12" spans="1:21" ht="17.25" thickBot="1" x14ac:dyDescent="0.3">
      <c r="A12" s="33" t="s">
        <v>24</v>
      </c>
      <c r="B12" s="34">
        <v>10</v>
      </c>
      <c r="C12" s="138" t="s">
        <v>25</v>
      </c>
      <c r="D12" s="100" t="s">
        <v>26</v>
      </c>
      <c r="E12" s="101" t="s">
        <v>25</v>
      </c>
      <c r="F12" s="102" t="s">
        <v>26</v>
      </c>
      <c r="G12" s="101" t="s">
        <v>25</v>
      </c>
      <c r="H12" s="154" t="s">
        <v>26</v>
      </c>
      <c r="I12" s="165" t="s">
        <v>25</v>
      </c>
      <c r="J12" s="79" t="s">
        <v>27</v>
      </c>
      <c r="K12" s="80" t="s">
        <v>25</v>
      </c>
      <c r="L12" s="79" t="s">
        <v>27</v>
      </c>
      <c r="M12" s="80" t="s">
        <v>25</v>
      </c>
      <c r="N12" s="139" t="s">
        <v>27</v>
      </c>
      <c r="O12" s="80" t="s">
        <v>25</v>
      </c>
      <c r="P12" s="79" t="s">
        <v>27</v>
      </c>
      <c r="Q12" s="80" t="s">
        <v>25</v>
      </c>
      <c r="R12" s="79" t="s">
        <v>27</v>
      </c>
      <c r="S12" s="80" t="s">
        <v>25</v>
      </c>
      <c r="T12" s="139" t="s">
        <v>27</v>
      </c>
      <c r="U12" s="37" t="s">
        <v>10</v>
      </c>
    </row>
    <row r="13" spans="1:21" ht="16.5" x14ac:dyDescent="0.25">
      <c r="A13" s="230" t="s">
        <v>28</v>
      </c>
      <c r="B13" s="32">
        <v>11</v>
      </c>
      <c r="C13" s="136" t="s">
        <v>29</v>
      </c>
      <c r="D13" s="99" t="s">
        <v>30</v>
      </c>
      <c r="E13" s="103" t="s">
        <v>29</v>
      </c>
      <c r="F13" s="104" t="s">
        <v>30</v>
      </c>
      <c r="G13" s="103" t="s">
        <v>29</v>
      </c>
      <c r="H13" s="155" t="s">
        <v>30</v>
      </c>
      <c r="I13" s="166" t="s">
        <v>31</v>
      </c>
      <c r="J13" s="81" t="s">
        <v>32</v>
      </c>
      <c r="K13" s="83" t="s">
        <v>31</v>
      </c>
      <c r="L13" s="81" t="s">
        <v>33</v>
      </c>
      <c r="M13" s="83" t="s">
        <v>31</v>
      </c>
      <c r="N13" s="137" t="s">
        <v>34</v>
      </c>
      <c r="O13" s="82" t="s">
        <v>31</v>
      </c>
      <c r="P13" s="81" t="s">
        <v>32</v>
      </c>
      <c r="Q13" s="83" t="s">
        <v>31</v>
      </c>
      <c r="R13" s="81" t="s">
        <v>35</v>
      </c>
      <c r="S13" s="83" t="s">
        <v>31</v>
      </c>
      <c r="T13" s="137" t="s">
        <v>36</v>
      </c>
      <c r="U13" s="37" t="s">
        <v>10</v>
      </c>
    </row>
    <row r="14" spans="1:21" ht="16.5" x14ac:dyDescent="0.25">
      <c r="A14" s="228"/>
      <c r="B14" s="43">
        <v>12</v>
      </c>
      <c r="C14" s="131" t="s">
        <v>29</v>
      </c>
      <c r="D14" s="92" t="s">
        <v>37</v>
      </c>
      <c r="E14" s="93" t="s">
        <v>29</v>
      </c>
      <c r="F14" s="94" t="s">
        <v>37</v>
      </c>
      <c r="G14" s="93" t="s">
        <v>29</v>
      </c>
      <c r="H14" s="151" t="s">
        <v>38</v>
      </c>
      <c r="I14" s="167" t="s">
        <v>31</v>
      </c>
      <c r="J14" s="73" t="s">
        <v>39</v>
      </c>
      <c r="K14" s="85" t="s">
        <v>31</v>
      </c>
      <c r="L14" s="73" t="s">
        <v>40</v>
      </c>
      <c r="M14" s="85" t="s">
        <v>31</v>
      </c>
      <c r="N14" s="133" t="s">
        <v>36</v>
      </c>
      <c r="O14" s="84" t="s">
        <v>31</v>
      </c>
      <c r="P14" s="73" t="s">
        <v>39</v>
      </c>
      <c r="Q14" s="85" t="s">
        <v>31</v>
      </c>
      <c r="R14" s="73" t="s">
        <v>41</v>
      </c>
      <c r="S14" s="85" t="s">
        <v>31</v>
      </c>
      <c r="T14" s="133" t="s">
        <v>42</v>
      </c>
      <c r="U14" s="37" t="s">
        <v>10</v>
      </c>
    </row>
    <row r="15" spans="1:21" ht="16.5" x14ac:dyDescent="0.25">
      <c r="A15" s="228"/>
      <c r="B15" s="43">
        <v>13</v>
      </c>
      <c r="C15" s="131" t="s">
        <v>29</v>
      </c>
      <c r="D15" s="92" t="s">
        <v>43</v>
      </c>
      <c r="E15" s="93" t="s">
        <v>29</v>
      </c>
      <c r="F15" s="94" t="s">
        <v>43</v>
      </c>
      <c r="G15" s="93" t="s">
        <v>29</v>
      </c>
      <c r="H15" s="151" t="s">
        <v>44</v>
      </c>
      <c r="I15" s="167" t="s">
        <v>31</v>
      </c>
      <c r="J15" s="73" t="s">
        <v>45</v>
      </c>
      <c r="K15" s="85" t="s">
        <v>31</v>
      </c>
      <c r="L15" s="73" t="s">
        <v>41</v>
      </c>
      <c r="M15" s="85" t="s">
        <v>31</v>
      </c>
      <c r="N15" s="133" t="s">
        <v>42</v>
      </c>
      <c r="O15" s="84" t="s">
        <v>31</v>
      </c>
      <c r="P15" s="73" t="s">
        <v>45</v>
      </c>
      <c r="Q15" s="85" t="s">
        <v>31</v>
      </c>
      <c r="R15" s="73" t="s">
        <v>46</v>
      </c>
      <c r="S15" s="85" t="s">
        <v>31</v>
      </c>
      <c r="T15" s="133" t="s">
        <v>47</v>
      </c>
      <c r="U15" s="37" t="s">
        <v>10</v>
      </c>
    </row>
    <row r="16" spans="1:21" ht="16.5" x14ac:dyDescent="0.25">
      <c r="A16" s="228"/>
      <c r="B16" s="43">
        <v>14</v>
      </c>
      <c r="C16" s="140" t="s">
        <v>10</v>
      </c>
      <c r="D16" s="92" t="s">
        <v>10</v>
      </c>
      <c r="E16" s="105" t="s">
        <v>10</v>
      </c>
      <c r="F16" s="94" t="s">
        <v>10</v>
      </c>
      <c r="G16" s="93" t="s">
        <v>29</v>
      </c>
      <c r="H16" s="151" t="s">
        <v>48</v>
      </c>
      <c r="I16" s="167" t="s">
        <v>31</v>
      </c>
      <c r="J16" s="73" t="s">
        <v>49</v>
      </c>
      <c r="K16" s="85" t="s">
        <v>31</v>
      </c>
      <c r="L16" s="73" t="s">
        <v>46</v>
      </c>
      <c r="M16" s="85" t="s">
        <v>31</v>
      </c>
      <c r="N16" s="133" t="s">
        <v>47</v>
      </c>
      <c r="O16" s="84" t="s">
        <v>31</v>
      </c>
      <c r="P16" s="73" t="s">
        <v>50</v>
      </c>
      <c r="Q16" s="85" t="s">
        <v>31</v>
      </c>
      <c r="R16" s="73" t="s">
        <v>49</v>
      </c>
      <c r="S16" s="85" t="s">
        <v>31</v>
      </c>
      <c r="T16" s="133" t="s">
        <v>51</v>
      </c>
      <c r="U16" s="37" t="s">
        <v>10</v>
      </c>
    </row>
    <row r="17" spans="1:21" ht="16.5" x14ac:dyDescent="0.25">
      <c r="A17" s="228"/>
      <c r="B17" s="43">
        <v>15</v>
      </c>
      <c r="C17" s="131" t="s">
        <v>52</v>
      </c>
      <c r="D17" s="92" t="s">
        <v>53</v>
      </c>
      <c r="E17" s="93" t="s">
        <v>52</v>
      </c>
      <c r="F17" s="94" t="s">
        <v>54</v>
      </c>
      <c r="G17" s="93" t="s">
        <v>52</v>
      </c>
      <c r="H17" s="151" t="s">
        <v>55</v>
      </c>
      <c r="I17" s="168" t="s">
        <v>10</v>
      </c>
      <c r="J17" s="73" t="s">
        <v>10</v>
      </c>
      <c r="K17" s="85" t="s">
        <v>31</v>
      </c>
      <c r="L17" s="73" t="s">
        <v>49</v>
      </c>
      <c r="M17" s="85" t="s">
        <v>31</v>
      </c>
      <c r="N17" s="133" t="s">
        <v>51</v>
      </c>
      <c r="O17" s="84" t="s">
        <v>31</v>
      </c>
      <c r="P17" s="73" t="s">
        <v>49</v>
      </c>
      <c r="Q17" s="85" t="s">
        <v>10</v>
      </c>
      <c r="R17" s="73" t="s">
        <v>10</v>
      </c>
      <c r="S17" s="85" t="s">
        <v>31</v>
      </c>
      <c r="T17" s="133" t="s">
        <v>56</v>
      </c>
      <c r="U17" s="37" t="s">
        <v>10</v>
      </c>
    </row>
    <row r="18" spans="1:21" ht="16.5" x14ac:dyDescent="0.25">
      <c r="A18" s="228"/>
      <c r="B18" s="43">
        <v>16</v>
      </c>
      <c r="C18" s="131" t="s">
        <v>52</v>
      </c>
      <c r="D18" s="92" t="s">
        <v>57</v>
      </c>
      <c r="E18" s="93" t="s">
        <v>52</v>
      </c>
      <c r="F18" s="94" t="s">
        <v>58</v>
      </c>
      <c r="G18" s="93" t="s">
        <v>52</v>
      </c>
      <c r="H18" s="151" t="s">
        <v>59</v>
      </c>
      <c r="I18" s="168" t="s">
        <v>10</v>
      </c>
      <c r="J18" s="73" t="s">
        <v>10</v>
      </c>
      <c r="K18" s="73" t="s">
        <v>10</v>
      </c>
      <c r="L18" s="73" t="s">
        <v>10</v>
      </c>
      <c r="M18" s="85" t="s">
        <v>31</v>
      </c>
      <c r="N18" s="133" t="s">
        <v>49</v>
      </c>
      <c r="O18" s="86" t="s">
        <v>10</v>
      </c>
      <c r="P18" s="73" t="s">
        <v>10</v>
      </c>
      <c r="Q18" s="73" t="s">
        <v>10</v>
      </c>
      <c r="R18" s="73" t="s">
        <v>10</v>
      </c>
      <c r="S18" s="73" t="s">
        <v>10</v>
      </c>
      <c r="T18" s="133" t="s">
        <v>10</v>
      </c>
      <c r="U18" s="37" t="s">
        <v>10</v>
      </c>
    </row>
    <row r="19" spans="1:21" ht="16.5" x14ac:dyDescent="0.25">
      <c r="A19" s="228"/>
      <c r="B19" s="43">
        <v>17</v>
      </c>
      <c r="C19" s="131" t="s">
        <v>52</v>
      </c>
      <c r="D19" s="92" t="s">
        <v>60</v>
      </c>
      <c r="E19" s="93" t="s">
        <v>52</v>
      </c>
      <c r="F19" s="94" t="s">
        <v>61</v>
      </c>
      <c r="G19" s="93" t="s">
        <v>52</v>
      </c>
      <c r="H19" s="151" t="s">
        <v>62</v>
      </c>
      <c r="I19" s="168" t="s">
        <v>10</v>
      </c>
      <c r="J19" s="73" t="s">
        <v>10</v>
      </c>
      <c r="K19" s="73" t="s">
        <v>10</v>
      </c>
      <c r="L19" s="73" t="s">
        <v>10</v>
      </c>
      <c r="M19" s="73" t="s">
        <v>10</v>
      </c>
      <c r="N19" s="133" t="s">
        <v>10</v>
      </c>
      <c r="O19" s="86" t="s">
        <v>10</v>
      </c>
      <c r="P19" s="73" t="s">
        <v>10</v>
      </c>
      <c r="Q19" s="73" t="s">
        <v>10</v>
      </c>
      <c r="R19" s="73" t="s">
        <v>10</v>
      </c>
      <c r="S19" s="73" t="s">
        <v>10</v>
      </c>
      <c r="T19" s="133" t="s">
        <v>10</v>
      </c>
      <c r="U19" s="37" t="s">
        <v>10</v>
      </c>
    </row>
    <row r="20" spans="1:21" ht="17.25" thickBot="1" x14ac:dyDescent="0.3">
      <c r="A20" s="229"/>
      <c r="B20" s="31">
        <v>18</v>
      </c>
      <c r="C20" s="141" t="s">
        <v>10</v>
      </c>
      <c r="D20" s="142" t="s">
        <v>10</v>
      </c>
      <c r="E20" s="143" t="s">
        <v>52</v>
      </c>
      <c r="F20" s="142" t="s">
        <v>63</v>
      </c>
      <c r="G20" s="143" t="s">
        <v>52</v>
      </c>
      <c r="H20" s="156" t="s">
        <v>64</v>
      </c>
      <c r="I20" s="169" t="s">
        <v>10</v>
      </c>
      <c r="J20" s="145" t="s">
        <v>10</v>
      </c>
      <c r="K20" s="145" t="s">
        <v>10</v>
      </c>
      <c r="L20" s="145" t="s">
        <v>10</v>
      </c>
      <c r="M20" s="145" t="s">
        <v>10</v>
      </c>
      <c r="N20" s="146" t="s">
        <v>10</v>
      </c>
      <c r="O20" s="144" t="s">
        <v>10</v>
      </c>
      <c r="P20" s="145" t="s">
        <v>10</v>
      </c>
      <c r="Q20" s="145" t="s">
        <v>10</v>
      </c>
      <c r="R20" s="145" t="s">
        <v>10</v>
      </c>
      <c r="S20" s="145" t="s">
        <v>10</v>
      </c>
      <c r="T20" s="146" t="s">
        <v>10</v>
      </c>
      <c r="U20" s="37" t="s">
        <v>10</v>
      </c>
    </row>
    <row r="21" spans="1:21" ht="15.75" customHeight="1" x14ac:dyDescent="0.25"/>
    <row r="22" spans="1:21" ht="15.75" customHeight="1" x14ac:dyDescent="0.25">
      <c r="D22" s="35">
        <f>COUNTA(D3:D20)</f>
        <v>18</v>
      </c>
      <c r="E22" s="35"/>
      <c r="F22" s="35">
        <f>COUNTA(F3:F20)</f>
        <v>18</v>
      </c>
      <c r="G22" s="35"/>
      <c r="H22" s="35">
        <f>COUNTA(H3:H20)</f>
        <v>18</v>
      </c>
      <c r="I22" s="35"/>
      <c r="J22" s="35">
        <f>COUNTA(J3:J20)</f>
        <v>18</v>
      </c>
      <c r="K22" s="35"/>
      <c r="L22" s="35">
        <f>COUNTA(L3:L20)</f>
        <v>18</v>
      </c>
      <c r="M22" s="35"/>
      <c r="N22" s="35">
        <f>COUNTA(N3:N20)</f>
        <v>18</v>
      </c>
      <c r="O22" s="35"/>
      <c r="P22" s="35">
        <f>COUNTA(P3:P20)</f>
        <v>18</v>
      </c>
      <c r="Q22" s="35"/>
      <c r="R22" s="35">
        <f>COUNTA(R3:R20)</f>
        <v>18</v>
      </c>
      <c r="S22" s="35"/>
      <c r="T22" s="35">
        <f>COUNTA(T3:T20)</f>
        <v>18</v>
      </c>
    </row>
    <row r="23" spans="1:21" ht="15.75" customHeight="1" x14ac:dyDescent="0.25">
      <c r="D23" s="2">
        <v>15</v>
      </c>
      <c r="F23" s="2">
        <v>16</v>
      </c>
      <c r="H23" s="2">
        <v>17</v>
      </c>
      <c r="J23" s="2">
        <v>11</v>
      </c>
      <c r="L23" s="2">
        <v>12</v>
      </c>
      <c r="N23" s="2">
        <v>13</v>
      </c>
      <c r="P23" s="2">
        <v>13</v>
      </c>
      <c r="R23" s="2">
        <v>16</v>
      </c>
      <c r="T23" s="2">
        <v>15</v>
      </c>
    </row>
    <row r="24" spans="1:21" ht="15.75" customHeight="1" x14ac:dyDescent="0.25"/>
    <row r="25" spans="1:21" ht="15.75" customHeight="1" x14ac:dyDescent="0.25"/>
    <row r="26" spans="1:21" ht="15.75" customHeight="1" x14ac:dyDescent="0.25"/>
    <row r="27" spans="1:21" ht="15.75" customHeight="1" x14ac:dyDescent="0.25"/>
    <row r="28" spans="1:21" ht="15.75" customHeight="1" x14ac:dyDescent="0.3">
      <c r="A28" s="26" t="s">
        <v>12</v>
      </c>
      <c r="B28" s="26" t="s">
        <v>21</v>
      </c>
      <c r="C28" s="26" t="s">
        <v>65</v>
      </c>
      <c r="D28" s="26" t="s">
        <v>66</v>
      </c>
      <c r="H28" s="1"/>
      <c r="I28" s="1"/>
    </row>
    <row r="29" spans="1:21" ht="15.75" customHeight="1" x14ac:dyDescent="0.25">
      <c r="A29" s="6" t="s">
        <v>67</v>
      </c>
      <c r="B29" s="6">
        <v>6</v>
      </c>
      <c r="C29" s="6">
        <v>6</v>
      </c>
      <c r="G29" s="2" t="s">
        <v>68</v>
      </c>
    </row>
    <row r="30" spans="1:21" ht="15.75" customHeight="1" x14ac:dyDescent="0.25">
      <c r="A30" s="6" t="s">
        <v>69</v>
      </c>
      <c r="B30" s="6">
        <v>6</v>
      </c>
      <c r="C30" s="6">
        <v>7</v>
      </c>
      <c r="G30" s="2" t="s">
        <v>10</v>
      </c>
    </row>
    <row r="31" spans="1:21" ht="15.75" customHeight="1" x14ac:dyDescent="0.25">
      <c r="A31" s="6" t="s">
        <v>70</v>
      </c>
      <c r="B31" s="6">
        <v>6</v>
      </c>
      <c r="C31" s="6">
        <v>8</v>
      </c>
      <c r="G31" s="2" t="s">
        <v>71</v>
      </c>
      <c r="H31" s="2" t="s">
        <v>72</v>
      </c>
      <c r="I31" s="2">
        <v>95</v>
      </c>
      <c r="J31" s="2" t="s">
        <v>73</v>
      </c>
      <c r="K31" s="2">
        <v>100</v>
      </c>
      <c r="M31" s="2" t="s">
        <v>71</v>
      </c>
      <c r="N31" s="2" t="s">
        <v>72</v>
      </c>
      <c r="O31" s="2">
        <v>95</v>
      </c>
      <c r="P31" s="2" t="s">
        <v>73</v>
      </c>
      <c r="Q31" s="2">
        <v>100</v>
      </c>
    </row>
    <row r="32" spans="1:21" ht="15.75" customHeight="1" x14ac:dyDescent="0.25">
      <c r="A32" s="6" t="s">
        <v>74</v>
      </c>
      <c r="B32" s="6">
        <v>6</v>
      </c>
      <c r="C32" s="6">
        <v>9</v>
      </c>
      <c r="G32" s="2" t="s">
        <v>12</v>
      </c>
      <c r="H32" s="2" t="s">
        <v>72</v>
      </c>
      <c r="I32" s="2">
        <v>90</v>
      </c>
      <c r="J32" s="2" t="s">
        <v>73</v>
      </c>
      <c r="K32" s="2">
        <v>94</v>
      </c>
      <c r="M32" s="2" t="s">
        <v>12</v>
      </c>
      <c r="N32" s="2" t="s">
        <v>72</v>
      </c>
      <c r="O32" s="2">
        <v>90</v>
      </c>
      <c r="P32" s="2" t="s">
        <v>73</v>
      </c>
      <c r="Q32" s="2">
        <v>94</v>
      </c>
    </row>
    <row r="33" spans="1:17" ht="15.75" customHeight="1" x14ac:dyDescent="0.25">
      <c r="A33" s="6" t="s">
        <v>75</v>
      </c>
      <c r="B33" s="6">
        <v>4</v>
      </c>
      <c r="C33" s="6">
        <v>3</v>
      </c>
      <c r="G33" s="2" t="s">
        <v>76</v>
      </c>
      <c r="H33" s="2" t="s">
        <v>72</v>
      </c>
      <c r="I33" s="2">
        <v>85</v>
      </c>
      <c r="J33" s="2" t="s">
        <v>73</v>
      </c>
      <c r="K33" s="2">
        <v>89</v>
      </c>
      <c r="M33" s="2" t="s">
        <v>76</v>
      </c>
      <c r="N33" s="2" t="s">
        <v>72</v>
      </c>
      <c r="O33" s="2">
        <v>85</v>
      </c>
      <c r="P33" s="2" t="s">
        <v>73</v>
      </c>
      <c r="Q33" s="2">
        <v>89</v>
      </c>
    </row>
    <row r="34" spans="1:17" ht="15.75" customHeight="1" x14ac:dyDescent="0.25">
      <c r="A34" s="6" t="s">
        <v>77</v>
      </c>
      <c r="B34" s="6">
        <v>4</v>
      </c>
      <c r="C34" s="6">
        <v>4</v>
      </c>
      <c r="G34" s="2" t="s">
        <v>78</v>
      </c>
      <c r="H34" s="2" t="s">
        <v>72</v>
      </c>
      <c r="I34" s="2">
        <v>80</v>
      </c>
      <c r="J34" s="2" t="s">
        <v>73</v>
      </c>
      <c r="K34" s="2">
        <v>84</v>
      </c>
      <c r="M34" s="2" t="s">
        <v>78</v>
      </c>
      <c r="N34" s="2" t="s">
        <v>72</v>
      </c>
      <c r="O34" s="2">
        <v>80</v>
      </c>
      <c r="P34" s="2" t="s">
        <v>73</v>
      </c>
      <c r="Q34" s="2">
        <v>84</v>
      </c>
    </row>
    <row r="35" spans="1:17" ht="15.75" customHeight="1" x14ac:dyDescent="0.25">
      <c r="A35" s="6" t="s">
        <v>79</v>
      </c>
      <c r="B35" s="6">
        <v>4</v>
      </c>
      <c r="C35" s="6">
        <v>5</v>
      </c>
      <c r="G35" s="2" t="s">
        <v>21</v>
      </c>
      <c r="H35" s="2" t="s">
        <v>72</v>
      </c>
      <c r="I35" s="2">
        <v>75</v>
      </c>
      <c r="J35" s="2" t="s">
        <v>73</v>
      </c>
      <c r="K35" s="2">
        <v>79</v>
      </c>
      <c r="M35" s="2" t="s">
        <v>21</v>
      </c>
      <c r="N35" s="2" t="s">
        <v>72</v>
      </c>
      <c r="O35" s="2">
        <v>75</v>
      </c>
      <c r="P35" s="2" t="s">
        <v>73</v>
      </c>
      <c r="Q35" s="2">
        <v>79</v>
      </c>
    </row>
    <row r="36" spans="1:17" ht="15.75" customHeight="1" x14ac:dyDescent="0.25">
      <c r="A36" s="6" t="s">
        <v>80</v>
      </c>
      <c r="B36" s="6">
        <v>2</v>
      </c>
      <c r="C36" s="6">
        <v>1</v>
      </c>
      <c r="G36" s="2" t="s">
        <v>81</v>
      </c>
      <c r="H36" s="2" t="s">
        <v>72</v>
      </c>
      <c r="I36" s="2">
        <v>70</v>
      </c>
      <c r="J36" s="2" t="s">
        <v>73</v>
      </c>
      <c r="K36" s="2">
        <v>74</v>
      </c>
      <c r="M36" s="2" t="s">
        <v>81</v>
      </c>
      <c r="N36" s="2" t="s">
        <v>72</v>
      </c>
      <c r="O36" s="2">
        <v>70</v>
      </c>
      <c r="P36" s="2" t="s">
        <v>73</v>
      </c>
      <c r="Q36" s="2">
        <v>74</v>
      </c>
    </row>
    <row r="37" spans="1:17" ht="15.75" customHeight="1" x14ac:dyDescent="0.25">
      <c r="A37" s="6" t="s">
        <v>82</v>
      </c>
      <c r="B37" s="6">
        <v>2</v>
      </c>
      <c r="C37" s="6">
        <v>2</v>
      </c>
      <c r="G37" s="2" t="s">
        <v>65</v>
      </c>
      <c r="H37" s="2" t="s">
        <v>72</v>
      </c>
      <c r="I37" s="2">
        <v>60</v>
      </c>
      <c r="J37" s="2" t="s">
        <v>73</v>
      </c>
      <c r="K37" s="2">
        <v>69</v>
      </c>
      <c r="M37" s="2" t="s">
        <v>65</v>
      </c>
      <c r="N37" s="2" t="s">
        <v>72</v>
      </c>
      <c r="O37" s="2">
        <v>65</v>
      </c>
      <c r="P37" s="2" t="s">
        <v>73</v>
      </c>
      <c r="Q37" s="2">
        <v>69</v>
      </c>
    </row>
    <row r="38" spans="1:17" ht="15.75" customHeight="1" x14ac:dyDescent="0.25">
      <c r="A38" s="6" t="s">
        <v>83</v>
      </c>
      <c r="B38" s="6">
        <v>12</v>
      </c>
      <c r="C38" s="6">
        <v>15</v>
      </c>
      <c r="G38" s="2" t="s">
        <v>66</v>
      </c>
      <c r="H38" s="2" t="s">
        <v>72</v>
      </c>
      <c r="J38" s="2" t="s">
        <v>84</v>
      </c>
      <c r="K38" s="2">
        <v>60</v>
      </c>
      <c r="M38" s="2" t="s">
        <v>66</v>
      </c>
      <c r="N38" s="2" t="s">
        <v>72</v>
      </c>
      <c r="P38" s="2" t="s">
        <v>84</v>
      </c>
      <c r="Q38" s="2">
        <v>65</v>
      </c>
    </row>
    <row r="39" spans="1:17" ht="15.75" customHeight="1" x14ac:dyDescent="0.3">
      <c r="A39" s="6" t="s">
        <v>85</v>
      </c>
      <c r="B39" s="6">
        <v>12</v>
      </c>
      <c r="C39" s="6">
        <v>16</v>
      </c>
      <c r="H39" s="1"/>
      <c r="I39" s="1"/>
    </row>
    <row r="40" spans="1:17" ht="15.75" customHeight="1" x14ac:dyDescent="0.3">
      <c r="A40" s="6" t="s">
        <v>86</v>
      </c>
      <c r="B40" s="6">
        <v>12</v>
      </c>
      <c r="C40" s="6">
        <v>17</v>
      </c>
      <c r="H40" s="1"/>
      <c r="I40" s="1"/>
    </row>
    <row r="41" spans="1:17" ht="15.75" customHeight="1" x14ac:dyDescent="0.3">
      <c r="A41" s="6" t="s">
        <v>87</v>
      </c>
      <c r="B41" s="6">
        <v>12</v>
      </c>
      <c r="C41" s="6">
        <v>18</v>
      </c>
      <c r="H41" s="1"/>
      <c r="I41" s="1"/>
    </row>
    <row r="42" spans="1:17" ht="15.75" customHeight="1" x14ac:dyDescent="0.3">
      <c r="A42" s="6" t="s">
        <v>88</v>
      </c>
      <c r="B42" s="6">
        <v>10</v>
      </c>
      <c r="C42" s="6">
        <v>12</v>
      </c>
      <c r="H42" s="1"/>
      <c r="I42" s="1"/>
    </row>
    <row r="43" spans="1:17" ht="15.75" customHeight="1" x14ac:dyDescent="0.3">
      <c r="A43" s="6" t="s">
        <v>89</v>
      </c>
      <c r="B43" s="6">
        <v>10</v>
      </c>
      <c r="C43" s="6">
        <v>13</v>
      </c>
      <c r="H43" s="1"/>
      <c r="I43" s="1"/>
    </row>
    <row r="44" spans="1:17" ht="15.75" customHeight="1" x14ac:dyDescent="0.3">
      <c r="A44" s="6" t="s">
        <v>90</v>
      </c>
      <c r="B44" s="6">
        <v>10</v>
      </c>
      <c r="C44" s="6">
        <v>14</v>
      </c>
      <c r="H44" s="1"/>
      <c r="I44" s="1"/>
    </row>
    <row r="45" spans="1:17" ht="15.75" customHeight="1" x14ac:dyDescent="0.3">
      <c r="A45" s="6" t="s">
        <v>91</v>
      </c>
      <c r="B45" s="6">
        <v>8</v>
      </c>
      <c r="C45" s="6">
        <v>10</v>
      </c>
      <c r="H45" s="1"/>
      <c r="I45" s="1"/>
    </row>
    <row r="46" spans="1:17" ht="15.75" customHeight="1" x14ac:dyDescent="0.25">
      <c r="A46" s="6" t="s">
        <v>92</v>
      </c>
      <c r="B46" s="6">
        <v>8</v>
      </c>
      <c r="C46" s="6">
        <v>11</v>
      </c>
    </row>
    <row r="47" spans="1:17" ht="15.75" customHeight="1" x14ac:dyDescent="0.25">
      <c r="A47" s="6" t="s">
        <v>93</v>
      </c>
      <c r="B47" s="6">
        <v>18</v>
      </c>
      <c r="C47" s="6">
        <v>24</v>
      </c>
    </row>
    <row r="48" spans="1:17" ht="15.75" customHeight="1" x14ac:dyDescent="0.25">
      <c r="A48" s="6" t="s">
        <v>94</v>
      </c>
      <c r="B48" s="6">
        <v>18</v>
      </c>
      <c r="C48" s="6">
        <v>25</v>
      </c>
    </row>
    <row r="49" spans="1:3" ht="15.75" customHeight="1" x14ac:dyDescent="0.25">
      <c r="A49" s="6" t="s">
        <v>95</v>
      </c>
      <c r="B49" s="6">
        <v>18</v>
      </c>
      <c r="C49" s="6">
        <v>26</v>
      </c>
    </row>
    <row r="50" spans="1:3" ht="15.75" customHeight="1" x14ac:dyDescent="0.25">
      <c r="A50" s="6" t="s">
        <v>96</v>
      </c>
      <c r="B50" s="6">
        <v>18</v>
      </c>
      <c r="C50" s="6">
        <v>27</v>
      </c>
    </row>
    <row r="51" spans="1:3" ht="15.75" customHeight="1" x14ac:dyDescent="0.25">
      <c r="A51" s="6" t="s">
        <v>97</v>
      </c>
      <c r="B51" s="6">
        <v>16</v>
      </c>
      <c r="C51" s="6">
        <v>21</v>
      </c>
    </row>
    <row r="52" spans="1:3" ht="15.75" customHeight="1" x14ac:dyDescent="0.25">
      <c r="A52" s="6" t="s">
        <v>98</v>
      </c>
      <c r="B52" s="6">
        <v>16</v>
      </c>
      <c r="C52" s="6">
        <v>22</v>
      </c>
    </row>
    <row r="53" spans="1:3" ht="15.75" customHeight="1" x14ac:dyDescent="0.25">
      <c r="A53" s="6" t="s">
        <v>99</v>
      </c>
      <c r="B53" s="6">
        <v>16</v>
      </c>
      <c r="C53" s="6">
        <v>23</v>
      </c>
    </row>
    <row r="54" spans="1:3" ht="15.75" customHeight="1" x14ac:dyDescent="0.25">
      <c r="A54" s="6" t="s">
        <v>100</v>
      </c>
      <c r="B54" s="6">
        <v>14</v>
      </c>
      <c r="C54" s="6">
        <v>19</v>
      </c>
    </row>
    <row r="55" spans="1:3" ht="15.75" customHeight="1" x14ac:dyDescent="0.25">
      <c r="A55" s="6" t="s">
        <v>101</v>
      </c>
      <c r="B55" s="6">
        <v>14</v>
      </c>
      <c r="C55" s="6">
        <v>20</v>
      </c>
    </row>
    <row r="56" spans="1:3" ht="15.75" customHeight="1" x14ac:dyDescent="0.25"/>
    <row r="57" spans="1:3" ht="15.75" customHeight="1" x14ac:dyDescent="0.25"/>
    <row r="58" spans="1:3" ht="15.75" customHeight="1" x14ac:dyDescent="0.25"/>
    <row r="59" spans="1:3" ht="15.75" customHeight="1" x14ac:dyDescent="0.25"/>
    <row r="60" spans="1:3" ht="15.75" customHeight="1" x14ac:dyDescent="0.25"/>
    <row r="61" spans="1:3" ht="15.75" customHeight="1" x14ac:dyDescent="0.25"/>
    <row r="62" spans="1:3" ht="15.75" customHeight="1" x14ac:dyDescent="0.25"/>
    <row r="63" spans="1:3" ht="15.75" customHeight="1" x14ac:dyDescent="0.25"/>
    <row r="64" spans="1:3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3">
    <mergeCell ref="A3:A8"/>
    <mergeCell ref="A9:A11"/>
    <mergeCell ref="A13:A20"/>
  </mergeCells>
  <hyperlinks>
    <hyperlink ref="A1" location="null!A1" display="Utama" xr:uid="{00000000-0004-0000-0200-000000000000}"/>
  </hyperlink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CE1000"/>
  <sheetViews>
    <sheetView zoomScale="60" zoomScaleNormal="60" workbookViewId="0">
      <pane ySplit="3" topLeftCell="A4" activePane="bottomLeft" state="frozen"/>
      <selection activeCell="N1" sqref="N1"/>
      <selection pane="bottomLeft" activeCell="AC1" sqref="AC1"/>
    </sheetView>
  </sheetViews>
  <sheetFormatPr defaultColWidth="14.42578125" defaultRowHeight="15" customHeight="1" x14ac:dyDescent="0.25"/>
  <cols>
    <col min="1" max="3" width="8.7109375" customWidth="1"/>
    <col min="4" max="4" width="8.5703125" customWidth="1"/>
    <col min="5" max="33" width="8.7109375" customWidth="1"/>
    <col min="34" max="34" width="13.140625" customWidth="1"/>
    <col min="35" max="39" width="8.7109375" customWidth="1"/>
    <col min="40" max="40" width="11.7109375" customWidth="1"/>
    <col min="41" max="82" width="8.7109375" customWidth="1"/>
    <col min="83" max="83" width="9.140625" customWidth="1"/>
  </cols>
  <sheetData>
    <row r="1" spans="1:83" x14ac:dyDescent="0.25">
      <c r="A1" s="7"/>
      <c r="B1" s="106" t="s">
        <v>102</v>
      </c>
      <c r="E1" s="106" t="s">
        <v>103</v>
      </c>
      <c r="H1" s="106" t="s">
        <v>75</v>
      </c>
      <c r="K1" s="106" t="s">
        <v>77</v>
      </c>
      <c r="N1" s="106" t="s">
        <v>79</v>
      </c>
      <c r="Q1" s="106" t="s">
        <v>104</v>
      </c>
      <c r="T1" s="106" t="s">
        <v>105</v>
      </c>
      <c r="W1" s="106" t="s">
        <v>106</v>
      </c>
      <c r="Z1" s="106" t="s">
        <v>107</v>
      </c>
      <c r="AC1" s="106" t="s">
        <v>108</v>
      </c>
      <c r="AF1" s="106" t="s">
        <v>109</v>
      </c>
      <c r="AI1" s="106" t="s">
        <v>88</v>
      </c>
      <c r="AL1" s="106" t="s">
        <v>89</v>
      </c>
      <c r="AO1" s="2" t="s">
        <v>90</v>
      </c>
      <c r="AR1" s="2" t="s">
        <v>110</v>
      </c>
      <c r="AU1" s="2" t="s">
        <v>111</v>
      </c>
      <c r="AX1" s="2" t="s">
        <v>112</v>
      </c>
      <c r="BA1" s="2" t="s">
        <v>113</v>
      </c>
      <c r="BD1" s="2" t="s">
        <v>114</v>
      </c>
      <c r="BG1" s="2" t="s">
        <v>115</v>
      </c>
      <c r="BJ1" s="2" t="s">
        <v>97</v>
      </c>
      <c r="BM1" s="2" t="s">
        <v>98</v>
      </c>
      <c r="BP1" s="2" t="s">
        <v>99</v>
      </c>
      <c r="BS1" s="2" t="s">
        <v>116</v>
      </c>
      <c r="BV1" s="2" t="s">
        <v>117</v>
      </c>
      <c r="BY1" s="2" t="s">
        <v>118</v>
      </c>
      <c r="CB1" s="2" t="s">
        <v>119</v>
      </c>
    </row>
    <row r="2" spans="1:83" x14ac:dyDescent="0.25">
      <c r="A2" s="38"/>
      <c r="B2" s="38">
        <v>1</v>
      </c>
      <c r="C2" s="38">
        <v>2</v>
      </c>
      <c r="D2" s="38">
        <v>3</v>
      </c>
      <c r="E2" s="38">
        <v>4</v>
      </c>
      <c r="F2" s="38">
        <v>5</v>
      </c>
      <c r="G2" s="38">
        <v>6</v>
      </c>
      <c r="H2" s="38">
        <v>7</v>
      </c>
      <c r="I2" s="38">
        <v>8</v>
      </c>
      <c r="J2" s="38">
        <v>9</v>
      </c>
      <c r="K2" s="38">
        <v>10</v>
      </c>
      <c r="L2" s="38">
        <v>11</v>
      </c>
      <c r="M2" s="38">
        <v>12</v>
      </c>
      <c r="N2" s="38">
        <v>13</v>
      </c>
      <c r="O2" s="38">
        <v>14</v>
      </c>
      <c r="P2" s="38">
        <v>15</v>
      </c>
      <c r="Q2" s="38">
        <v>16</v>
      </c>
      <c r="R2" s="38">
        <v>17</v>
      </c>
      <c r="S2" s="38">
        <v>18</v>
      </c>
      <c r="T2" s="38">
        <v>19</v>
      </c>
      <c r="U2" s="38">
        <v>20</v>
      </c>
      <c r="V2" s="38">
        <v>21</v>
      </c>
      <c r="W2" s="38">
        <v>22</v>
      </c>
      <c r="X2" s="38">
        <v>23</v>
      </c>
      <c r="Y2" s="38">
        <v>24</v>
      </c>
      <c r="Z2" s="38">
        <v>25</v>
      </c>
      <c r="AA2" s="38">
        <v>26</v>
      </c>
      <c r="AB2" s="38">
        <v>27</v>
      </c>
      <c r="AC2" s="38">
        <v>28</v>
      </c>
      <c r="AD2" s="38">
        <v>29</v>
      </c>
      <c r="AE2" s="38">
        <v>30</v>
      </c>
      <c r="AF2" s="38">
        <v>31</v>
      </c>
      <c r="AG2" s="38">
        <v>32</v>
      </c>
      <c r="AH2" s="38">
        <v>33</v>
      </c>
      <c r="AI2" s="38">
        <v>34</v>
      </c>
      <c r="AJ2" s="38">
        <v>35</v>
      </c>
      <c r="AK2" s="38">
        <v>36</v>
      </c>
      <c r="AL2" s="38">
        <v>37</v>
      </c>
      <c r="AM2" s="38">
        <v>38</v>
      </c>
      <c r="AN2" s="38">
        <v>39</v>
      </c>
      <c r="AO2" s="38">
        <v>40</v>
      </c>
      <c r="AP2" s="38">
        <v>41</v>
      </c>
      <c r="AQ2" s="38">
        <v>42</v>
      </c>
      <c r="AR2" s="38">
        <v>43</v>
      </c>
      <c r="AS2" s="38">
        <v>44</v>
      </c>
      <c r="AT2" s="38">
        <v>45</v>
      </c>
      <c r="AU2" s="38">
        <v>46</v>
      </c>
      <c r="AV2" s="38">
        <v>47</v>
      </c>
      <c r="AW2" s="38">
        <v>48</v>
      </c>
      <c r="AX2" s="38">
        <v>49</v>
      </c>
      <c r="AY2" s="38">
        <v>50</v>
      </c>
      <c r="AZ2" s="38">
        <v>51</v>
      </c>
      <c r="BA2" s="38">
        <v>52</v>
      </c>
      <c r="BB2" s="38">
        <v>53</v>
      </c>
      <c r="BC2" s="38">
        <v>54</v>
      </c>
      <c r="BD2" s="38">
        <v>55</v>
      </c>
      <c r="BE2" s="38">
        <v>56</v>
      </c>
      <c r="BF2" s="38">
        <v>57</v>
      </c>
      <c r="BG2" s="38">
        <v>58</v>
      </c>
      <c r="BH2" s="38">
        <v>59</v>
      </c>
      <c r="BI2" s="38">
        <v>60</v>
      </c>
      <c r="BJ2" s="38">
        <v>61</v>
      </c>
      <c r="BK2" s="38">
        <v>62</v>
      </c>
      <c r="BL2" s="38">
        <v>63</v>
      </c>
      <c r="BM2" s="38">
        <v>64</v>
      </c>
      <c r="BN2" s="38">
        <v>65</v>
      </c>
      <c r="BO2" s="38">
        <v>66</v>
      </c>
      <c r="BP2" s="38">
        <v>67</v>
      </c>
      <c r="BQ2" s="38">
        <v>68</v>
      </c>
      <c r="BR2" s="38">
        <v>69</v>
      </c>
      <c r="BS2" s="38">
        <v>70</v>
      </c>
      <c r="BT2" s="38">
        <v>71</v>
      </c>
      <c r="BU2" s="38">
        <v>72</v>
      </c>
      <c r="BV2" s="38">
        <v>73</v>
      </c>
      <c r="BW2" s="38">
        <v>74</v>
      </c>
      <c r="BX2" s="38">
        <v>75</v>
      </c>
      <c r="BY2" s="38">
        <v>76</v>
      </c>
      <c r="BZ2" s="38">
        <v>77</v>
      </c>
      <c r="CA2" s="38">
        <v>78</v>
      </c>
      <c r="CB2" s="38">
        <v>79</v>
      </c>
      <c r="CC2" s="38">
        <v>80</v>
      </c>
      <c r="CD2" s="38">
        <v>81</v>
      </c>
      <c r="CE2" s="40"/>
    </row>
    <row r="3" spans="1:83" ht="16.5" x14ac:dyDescent="0.3">
      <c r="A3" s="38">
        <v>1</v>
      </c>
      <c r="B3" s="112" t="s">
        <v>120</v>
      </c>
      <c r="C3" s="113" t="s">
        <v>121</v>
      </c>
      <c r="D3" s="114" t="s">
        <v>122</v>
      </c>
      <c r="E3" s="112" t="s">
        <v>123</v>
      </c>
      <c r="F3" s="113" t="s">
        <v>124</v>
      </c>
      <c r="G3" s="114" t="s">
        <v>125</v>
      </c>
      <c r="H3" s="112" t="s">
        <v>126</v>
      </c>
      <c r="I3" s="113" t="s">
        <v>127</v>
      </c>
      <c r="J3" s="114" t="s">
        <v>128</v>
      </c>
      <c r="K3" s="112" t="s">
        <v>129</v>
      </c>
      <c r="L3" s="113" t="s">
        <v>130</v>
      </c>
      <c r="M3" s="114" t="s">
        <v>131</v>
      </c>
      <c r="N3" s="112" t="s">
        <v>132</v>
      </c>
      <c r="O3" s="113" t="s">
        <v>133</v>
      </c>
      <c r="P3" s="114" t="s">
        <v>134</v>
      </c>
      <c r="Q3" s="112" t="s">
        <v>135</v>
      </c>
      <c r="R3" s="113" t="s">
        <v>136</v>
      </c>
      <c r="S3" s="114" t="s">
        <v>137</v>
      </c>
      <c r="T3" s="112" t="s">
        <v>138</v>
      </c>
      <c r="U3" s="113" t="s">
        <v>139</v>
      </c>
      <c r="V3" s="115" t="s">
        <v>140</v>
      </c>
      <c r="W3" s="112" t="s">
        <v>141</v>
      </c>
      <c r="X3" s="113" t="s">
        <v>142</v>
      </c>
      <c r="Y3" s="114" t="s">
        <v>143</v>
      </c>
      <c r="Z3" s="112" t="s">
        <v>144</v>
      </c>
      <c r="AA3" s="113" t="s">
        <v>145</v>
      </c>
      <c r="AB3" s="114" t="s">
        <v>146</v>
      </c>
      <c r="AC3" s="112" t="s">
        <v>147</v>
      </c>
      <c r="AD3" s="113" t="s">
        <v>148</v>
      </c>
      <c r="AE3" s="114" t="s">
        <v>149</v>
      </c>
      <c r="AF3" s="112" t="s">
        <v>150</v>
      </c>
      <c r="AG3" s="113" t="s">
        <v>151</v>
      </c>
      <c r="AH3" s="114" t="s">
        <v>152</v>
      </c>
      <c r="AI3" s="112" t="s">
        <v>153</v>
      </c>
      <c r="AJ3" s="113" t="s">
        <v>154</v>
      </c>
      <c r="AK3" s="114" t="s">
        <v>155</v>
      </c>
      <c r="AL3" s="116" t="s">
        <v>156</v>
      </c>
      <c r="AM3" s="113" t="s">
        <v>157</v>
      </c>
      <c r="AN3" s="114" t="s">
        <v>158</v>
      </c>
      <c r="AO3" s="112" t="s">
        <v>159</v>
      </c>
      <c r="AP3" s="113" t="s">
        <v>160</v>
      </c>
      <c r="AQ3" s="114" t="s">
        <v>161</v>
      </c>
      <c r="AR3" s="112" t="s">
        <v>162</v>
      </c>
      <c r="AS3" s="113" t="s">
        <v>163</v>
      </c>
      <c r="AT3" s="114" t="s">
        <v>164</v>
      </c>
      <c r="AU3" s="112" t="s">
        <v>165</v>
      </c>
      <c r="AV3" s="113" t="s">
        <v>166</v>
      </c>
      <c r="AW3" s="114" t="s">
        <v>167</v>
      </c>
      <c r="AX3" s="116" t="s">
        <v>168</v>
      </c>
      <c r="AY3" s="113" t="s">
        <v>169</v>
      </c>
      <c r="AZ3" s="114" t="s">
        <v>170</v>
      </c>
      <c r="BA3" s="112" t="s">
        <v>171</v>
      </c>
      <c r="BB3" s="113" t="s">
        <v>172</v>
      </c>
      <c r="BC3" s="114" t="s">
        <v>173</v>
      </c>
      <c r="BD3" s="117" t="s">
        <v>174</v>
      </c>
      <c r="BE3" s="118" t="s">
        <v>175</v>
      </c>
      <c r="BF3" s="115" t="s">
        <v>176</v>
      </c>
      <c r="BG3" s="117" t="s">
        <v>177</v>
      </c>
      <c r="BH3" s="118" t="s">
        <v>178</v>
      </c>
      <c r="BI3" s="115" t="s">
        <v>179</v>
      </c>
      <c r="BJ3" s="117" t="s">
        <v>180</v>
      </c>
      <c r="BK3" s="118" t="s">
        <v>181</v>
      </c>
      <c r="BL3" s="115" t="s">
        <v>182</v>
      </c>
      <c r="BM3" s="117" t="s">
        <v>183</v>
      </c>
      <c r="BN3" s="118" t="s">
        <v>184</v>
      </c>
      <c r="BO3" s="115" t="s">
        <v>185</v>
      </c>
      <c r="BP3" s="117" t="s">
        <v>186</v>
      </c>
      <c r="BQ3" s="118" t="s">
        <v>187</v>
      </c>
      <c r="BR3" s="115" t="s">
        <v>188</v>
      </c>
      <c r="BS3" s="112" t="s">
        <v>189</v>
      </c>
      <c r="BT3" s="113" t="s">
        <v>190</v>
      </c>
      <c r="BU3" s="114" t="s">
        <v>191</v>
      </c>
      <c r="BV3" s="117" t="s">
        <v>192</v>
      </c>
      <c r="BW3" s="118" t="s">
        <v>193</v>
      </c>
      <c r="BX3" s="115" t="s">
        <v>194</v>
      </c>
      <c r="BY3" s="116" t="s">
        <v>195</v>
      </c>
      <c r="BZ3" s="113" t="s">
        <v>196</v>
      </c>
      <c r="CA3" s="119" t="s">
        <v>197</v>
      </c>
      <c r="CB3" s="117" t="s">
        <v>198</v>
      </c>
      <c r="CC3" s="118" t="s">
        <v>199</v>
      </c>
      <c r="CD3" s="115" t="s">
        <v>200</v>
      </c>
      <c r="CE3" s="108" t="s">
        <v>10</v>
      </c>
    </row>
    <row r="4" spans="1:83" ht="16.5" x14ac:dyDescent="0.3">
      <c r="A4" s="38">
        <v>2</v>
      </c>
      <c r="B4" s="112" t="s">
        <v>201</v>
      </c>
      <c r="C4" s="113" t="s">
        <v>202</v>
      </c>
      <c r="D4" s="114" t="s">
        <v>203</v>
      </c>
      <c r="E4" s="112" t="s">
        <v>204</v>
      </c>
      <c r="F4" s="113" t="s">
        <v>205</v>
      </c>
      <c r="G4" s="114" t="s">
        <v>206</v>
      </c>
      <c r="H4" s="112" t="s">
        <v>207</v>
      </c>
      <c r="I4" s="113" t="s">
        <v>208</v>
      </c>
      <c r="J4" s="114" t="s">
        <v>209</v>
      </c>
      <c r="K4" s="112" t="s">
        <v>210</v>
      </c>
      <c r="L4" s="113" t="s">
        <v>211</v>
      </c>
      <c r="M4" s="114" t="s">
        <v>212</v>
      </c>
      <c r="N4" s="112" t="s">
        <v>213</v>
      </c>
      <c r="O4" s="113" t="s">
        <v>214</v>
      </c>
      <c r="P4" s="114" t="s">
        <v>215</v>
      </c>
      <c r="Q4" s="112" t="s">
        <v>216</v>
      </c>
      <c r="R4" s="113" t="s">
        <v>217</v>
      </c>
      <c r="S4" s="114" t="s">
        <v>218</v>
      </c>
      <c r="T4" s="112" t="s">
        <v>219</v>
      </c>
      <c r="U4" s="113" t="s">
        <v>220</v>
      </c>
      <c r="V4" s="115" t="s">
        <v>221</v>
      </c>
      <c r="W4" s="112" t="s">
        <v>222</v>
      </c>
      <c r="X4" s="113" t="s">
        <v>223</v>
      </c>
      <c r="Y4" s="114" t="s">
        <v>224</v>
      </c>
      <c r="Z4" s="112" t="s">
        <v>225</v>
      </c>
      <c r="AA4" s="113" t="s">
        <v>226</v>
      </c>
      <c r="AB4" s="114" t="s">
        <v>227</v>
      </c>
      <c r="AC4" s="112" t="s">
        <v>228</v>
      </c>
      <c r="AD4" s="113" t="s">
        <v>229</v>
      </c>
      <c r="AE4" s="114" t="s">
        <v>230</v>
      </c>
      <c r="AF4" s="112" t="s">
        <v>231</v>
      </c>
      <c r="AG4" s="113" t="s">
        <v>232</v>
      </c>
      <c r="AH4" s="114" t="s">
        <v>233</v>
      </c>
      <c r="AI4" s="112" t="s">
        <v>234</v>
      </c>
      <c r="AJ4" s="113" t="s">
        <v>235</v>
      </c>
      <c r="AK4" s="114" t="s">
        <v>236</v>
      </c>
      <c r="AL4" s="116" t="s">
        <v>237</v>
      </c>
      <c r="AM4" s="113" t="s">
        <v>238</v>
      </c>
      <c r="AN4" s="114" t="s">
        <v>239</v>
      </c>
      <c r="AO4" s="112" t="s">
        <v>240</v>
      </c>
      <c r="AP4" s="113" t="s">
        <v>241</v>
      </c>
      <c r="AQ4" s="114" t="s">
        <v>242</v>
      </c>
      <c r="AR4" s="112" t="s">
        <v>243</v>
      </c>
      <c r="AS4" s="113" t="s">
        <v>244</v>
      </c>
      <c r="AT4" s="114" t="s">
        <v>245</v>
      </c>
      <c r="AU4" s="112" t="s">
        <v>246</v>
      </c>
      <c r="AV4" s="113" t="s">
        <v>247</v>
      </c>
      <c r="AW4" s="114" t="s">
        <v>248</v>
      </c>
      <c r="AX4" s="116" t="s">
        <v>249</v>
      </c>
      <c r="AY4" s="113" t="s">
        <v>250</v>
      </c>
      <c r="AZ4" s="114" t="s">
        <v>251</v>
      </c>
      <c r="BA4" s="112" t="s">
        <v>252</v>
      </c>
      <c r="BB4" s="113" t="s">
        <v>253</v>
      </c>
      <c r="BC4" s="114" t="s">
        <v>254</v>
      </c>
      <c r="BD4" s="117" t="s">
        <v>255</v>
      </c>
      <c r="BE4" s="118" t="s">
        <v>256</v>
      </c>
      <c r="BF4" s="115" t="s">
        <v>257</v>
      </c>
      <c r="BG4" s="117" t="s">
        <v>258</v>
      </c>
      <c r="BH4" s="118" t="s">
        <v>259</v>
      </c>
      <c r="BI4" s="115" t="s">
        <v>260</v>
      </c>
      <c r="BJ4" s="117" t="s">
        <v>261</v>
      </c>
      <c r="BK4" s="118" t="s">
        <v>262</v>
      </c>
      <c r="BL4" s="115" t="s">
        <v>263</v>
      </c>
      <c r="BM4" s="117" t="s">
        <v>264</v>
      </c>
      <c r="BN4" s="118" t="s">
        <v>265</v>
      </c>
      <c r="BO4" s="115" t="s">
        <v>266</v>
      </c>
      <c r="BP4" s="117" t="s">
        <v>267</v>
      </c>
      <c r="BQ4" s="118" t="s">
        <v>268</v>
      </c>
      <c r="BR4" s="115" t="s">
        <v>269</v>
      </c>
      <c r="BS4" s="112" t="s">
        <v>270</v>
      </c>
      <c r="BT4" s="113" t="s">
        <v>271</v>
      </c>
      <c r="BU4" s="114" t="s">
        <v>272</v>
      </c>
      <c r="BV4" s="117" t="s">
        <v>273</v>
      </c>
      <c r="BW4" s="118" t="s">
        <v>274</v>
      </c>
      <c r="BX4" s="115" t="s">
        <v>275</v>
      </c>
      <c r="BY4" s="117" t="s">
        <v>276</v>
      </c>
      <c r="BZ4" s="118" t="s">
        <v>277</v>
      </c>
      <c r="CA4" s="115" t="s">
        <v>278</v>
      </c>
      <c r="CB4" s="117" t="s">
        <v>279</v>
      </c>
      <c r="CC4" s="118" t="s">
        <v>280</v>
      </c>
      <c r="CD4" s="115" t="s">
        <v>281</v>
      </c>
      <c r="CE4" s="108" t="s">
        <v>10</v>
      </c>
    </row>
    <row r="5" spans="1:83" ht="16.5" x14ac:dyDescent="0.3">
      <c r="A5" s="38">
        <v>3</v>
      </c>
      <c r="B5" s="112" t="s">
        <v>282</v>
      </c>
      <c r="C5" s="113" t="s">
        <v>283</v>
      </c>
      <c r="D5" s="114" t="s">
        <v>284</v>
      </c>
      <c r="E5" s="112" t="s">
        <v>285</v>
      </c>
      <c r="F5" s="113" t="s">
        <v>286</v>
      </c>
      <c r="G5" s="114" t="s">
        <v>287</v>
      </c>
      <c r="H5" s="112" t="s">
        <v>288</v>
      </c>
      <c r="I5" s="113" t="s">
        <v>289</v>
      </c>
      <c r="J5" s="114" t="s">
        <v>290</v>
      </c>
      <c r="K5" s="112" t="s">
        <v>291</v>
      </c>
      <c r="L5" s="113" t="s">
        <v>292</v>
      </c>
      <c r="M5" s="114" t="s">
        <v>293</v>
      </c>
      <c r="N5" s="112" t="s">
        <v>294</v>
      </c>
      <c r="O5" s="113" t="s">
        <v>295</v>
      </c>
      <c r="P5" s="114" t="s">
        <v>296</v>
      </c>
      <c r="Q5" s="112" t="s">
        <v>297</v>
      </c>
      <c r="R5" s="113" t="s">
        <v>298</v>
      </c>
      <c r="S5" s="114" t="s">
        <v>299</v>
      </c>
      <c r="T5" s="112" t="s">
        <v>300</v>
      </c>
      <c r="U5" s="113" t="s">
        <v>301</v>
      </c>
      <c r="V5" s="115" t="s">
        <v>302</v>
      </c>
      <c r="W5" s="112" t="s">
        <v>303</v>
      </c>
      <c r="X5" s="113" t="s">
        <v>304</v>
      </c>
      <c r="Y5" s="114" t="s">
        <v>305</v>
      </c>
      <c r="Z5" s="112" t="s">
        <v>306</v>
      </c>
      <c r="AA5" s="113" t="s">
        <v>307</v>
      </c>
      <c r="AB5" s="114" t="s">
        <v>308</v>
      </c>
      <c r="AC5" s="112" t="s">
        <v>309</v>
      </c>
      <c r="AD5" s="113" t="s">
        <v>310</v>
      </c>
      <c r="AE5" s="114" t="s">
        <v>311</v>
      </c>
      <c r="AF5" s="112" t="s">
        <v>312</v>
      </c>
      <c r="AG5" s="113" t="s">
        <v>313</v>
      </c>
      <c r="AH5" s="114" t="s">
        <v>314</v>
      </c>
      <c r="AI5" s="112" t="s">
        <v>315</v>
      </c>
      <c r="AJ5" s="113" t="s">
        <v>316</v>
      </c>
      <c r="AK5" s="114" t="s">
        <v>317</v>
      </c>
      <c r="AL5" s="116" t="s">
        <v>318</v>
      </c>
      <c r="AM5" s="113" t="s">
        <v>319</v>
      </c>
      <c r="AN5" s="114" t="s">
        <v>320</v>
      </c>
      <c r="AO5" s="112" t="s">
        <v>321</v>
      </c>
      <c r="AP5" s="113" t="s">
        <v>322</v>
      </c>
      <c r="AQ5" s="114" t="s">
        <v>323</v>
      </c>
      <c r="AR5" s="112" t="s">
        <v>324</v>
      </c>
      <c r="AS5" s="113" t="s">
        <v>325</v>
      </c>
      <c r="AT5" s="114" t="s">
        <v>326</v>
      </c>
      <c r="AU5" s="112" t="s">
        <v>327</v>
      </c>
      <c r="AV5" s="113" t="s">
        <v>328</v>
      </c>
      <c r="AW5" s="114" t="s">
        <v>329</v>
      </c>
      <c r="AX5" s="116" t="s">
        <v>330</v>
      </c>
      <c r="AY5" s="113" t="s">
        <v>331</v>
      </c>
      <c r="AZ5" s="114" t="s">
        <v>332</v>
      </c>
      <c r="BA5" s="112" t="s">
        <v>333</v>
      </c>
      <c r="BB5" s="113" t="s">
        <v>334</v>
      </c>
      <c r="BC5" s="114" t="s">
        <v>335</v>
      </c>
      <c r="BD5" s="117" t="s">
        <v>336</v>
      </c>
      <c r="BE5" s="118" t="s">
        <v>337</v>
      </c>
      <c r="BF5" s="115" t="s">
        <v>338</v>
      </c>
      <c r="BG5" s="117" t="s">
        <v>339</v>
      </c>
      <c r="BH5" s="118" t="s">
        <v>340</v>
      </c>
      <c r="BI5" s="115" t="s">
        <v>341</v>
      </c>
      <c r="BJ5" s="117" t="s">
        <v>342</v>
      </c>
      <c r="BK5" s="118" t="s">
        <v>343</v>
      </c>
      <c r="BL5" s="115" t="s">
        <v>344</v>
      </c>
      <c r="BM5" s="117" t="s">
        <v>345</v>
      </c>
      <c r="BN5" s="118" t="s">
        <v>346</v>
      </c>
      <c r="BO5" s="115" t="s">
        <v>347</v>
      </c>
      <c r="BP5" s="117" t="s">
        <v>348</v>
      </c>
      <c r="BQ5" s="118" t="s">
        <v>349</v>
      </c>
      <c r="BR5" s="115" t="s">
        <v>350</v>
      </c>
      <c r="BS5" s="112" t="s">
        <v>351</v>
      </c>
      <c r="BT5" s="113" t="s">
        <v>352</v>
      </c>
      <c r="BU5" s="114" t="s">
        <v>353</v>
      </c>
      <c r="BV5" s="117" t="s">
        <v>354</v>
      </c>
      <c r="BW5" s="118" t="s">
        <v>355</v>
      </c>
      <c r="BX5" s="115" t="s">
        <v>356</v>
      </c>
      <c r="BY5" s="117" t="s">
        <v>357</v>
      </c>
      <c r="BZ5" s="113" t="s">
        <v>358</v>
      </c>
      <c r="CA5" s="115" t="s">
        <v>359</v>
      </c>
      <c r="CB5" s="117" t="s">
        <v>360</v>
      </c>
      <c r="CC5" s="118" t="s">
        <v>361</v>
      </c>
      <c r="CD5" s="115" t="s">
        <v>362</v>
      </c>
      <c r="CE5" s="108" t="s">
        <v>10</v>
      </c>
    </row>
    <row r="6" spans="1:83" ht="16.5" x14ac:dyDescent="0.3">
      <c r="A6" s="38">
        <v>4</v>
      </c>
      <c r="B6" s="112" t="s">
        <v>363</v>
      </c>
      <c r="C6" s="113" t="s">
        <v>364</v>
      </c>
      <c r="D6" s="114" t="s">
        <v>365</v>
      </c>
      <c r="E6" s="112" t="s">
        <v>366</v>
      </c>
      <c r="F6" s="113" t="s">
        <v>367</v>
      </c>
      <c r="G6" s="114" t="s">
        <v>368</v>
      </c>
      <c r="H6" s="112" t="s">
        <v>369</v>
      </c>
      <c r="I6" s="113" t="s">
        <v>370</v>
      </c>
      <c r="J6" s="114" t="s">
        <v>371</v>
      </c>
      <c r="K6" s="112" t="s">
        <v>372</v>
      </c>
      <c r="L6" s="113" t="s">
        <v>373</v>
      </c>
      <c r="M6" s="114" t="s">
        <v>374</v>
      </c>
      <c r="N6" s="112" t="s">
        <v>375</v>
      </c>
      <c r="O6" s="113" t="s">
        <v>376</v>
      </c>
      <c r="P6" s="114" t="s">
        <v>377</v>
      </c>
      <c r="Q6" s="112" t="s">
        <v>378</v>
      </c>
      <c r="R6" s="113" t="s">
        <v>379</v>
      </c>
      <c r="S6" s="114" t="s">
        <v>380</v>
      </c>
      <c r="T6" s="112" t="s">
        <v>381</v>
      </c>
      <c r="U6" s="113" t="s">
        <v>382</v>
      </c>
      <c r="V6" s="115" t="s">
        <v>383</v>
      </c>
      <c r="W6" s="112" t="s">
        <v>384</v>
      </c>
      <c r="X6" s="113" t="s">
        <v>385</v>
      </c>
      <c r="Y6" s="114" t="s">
        <v>386</v>
      </c>
      <c r="Z6" s="112" t="s">
        <v>387</v>
      </c>
      <c r="AA6" s="113" t="s">
        <v>388</v>
      </c>
      <c r="AB6" s="114" t="s">
        <v>389</v>
      </c>
      <c r="AC6" s="112" t="s">
        <v>390</v>
      </c>
      <c r="AD6" s="113" t="s">
        <v>391</v>
      </c>
      <c r="AE6" s="114" t="s">
        <v>392</v>
      </c>
      <c r="AF6" s="112" t="s">
        <v>393</v>
      </c>
      <c r="AG6" s="113" t="s">
        <v>394</v>
      </c>
      <c r="AH6" s="114" t="s">
        <v>395</v>
      </c>
      <c r="AI6" s="112" t="s">
        <v>396</v>
      </c>
      <c r="AJ6" s="113" t="s">
        <v>397</v>
      </c>
      <c r="AK6" s="114" t="s">
        <v>398</v>
      </c>
      <c r="AL6" s="116" t="s">
        <v>399</v>
      </c>
      <c r="AM6" s="113" t="s">
        <v>400</v>
      </c>
      <c r="AN6" s="114" t="s">
        <v>401</v>
      </c>
      <c r="AO6" s="112" t="s">
        <v>402</v>
      </c>
      <c r="AP6" s="113" t="s">
        <v>403</v>
      </c>
      <c r="AQ6" s="114" t="s">
        <v>404</v>
      </c>
      <c r="AR6" s="112" t="s">
        <v>405</v>
      </c>
      <c r="AS6" s="113" t="s">
        <v>406</v>
      </c>
      <c r="AT6" s="114" t="s">
        <v>407</v>
      </c>
      <c r="AU6" s="112" t="s">
        <v>408</v>
      </c>
      <c r="AV6" s="113" t="s">
        <v>409</v>
      </c>
      <c r="AW6" s="114" t="s">
        <v>410</v>
      </c>
      <c r="AX6" s="116" t="s">
        <v>411</v>
      </c>
      <c r="AY6" s="113" t="s">
        <v>412</v>
      </c>
      <c r="AZ6" s="114" t="s">
        <v>413</v>
      </c>
      <c r="BA6" s="112" t="s">
        <v>414</v>
      </c>
      <c r="BB6" s="113" t="s">
        <v>415</v>
      </c>
      <c r="BC6" s="114" t="s">
        <v>416</v>
      </c>
      <c r="BD6" s="117" t="s">
        <v>417</v>
      </c>
      <c r="BE6" s="118" t="s">
        <v>418</v>
      </c>
      <c r="BF6" s="115" t="s">
        <v>419</v>
      </c>
      <c r="BG6" s="117" t="s">
        <v>420</v>
      </c>
      <c r="BH6" s="118" t="s">
        <v>421</v>
      </c>
      <c r="BI6" s="115" t="s">
        <v>422</v>
      </c>
      <c r="BJ6" s="117" t="s">
        <v>423</v>
      </c>
      <c r="BK6" s="118" t="s">
        <v>424</v>
      </c>
      <c r="BL6" s="115" t="s">
        <v>425</v>
      </c>
      <c r="BM6" s="117" t="s">
        <v>426</v>
      </c>
      <c r="BN6" s="118" t="s">
        <v>427</v>
      </c>
      <c r="BO6" s="115" t="s">
        <v>428</v>
      </c>
      <c r="BP6" s="117" t="s">
        <v>429</v>
      </c>
      <c r="BQ6" s="118" t="s">
        <v>430</v>
      </c>
      <c r="BR6" s="115" t="s">
        <v>431</v>
      </c>
      <c r="BS6" s="112" t="s">
        <v>432</v>
      </c>
      <c r="BT6" s="113" t="s">
        <v>433</v>
      </c>
      <c r="BU6" s="114" t="s">
        <v>434</v>
      </c>
      <c r="BV6" s="117" t="s">
        <v>435</v>
      </c>
      <c r="BW6" s="118" t="s">
        <v>436</v>
      </c>
      <c r="BX6" s="115" t="s">
        <v>437</v>
      </c>
      <c r="BY6" s="117" t="s">
        <v>438</v>
      </c>
      <c r="BZ6" s="118" t="s">
        <v>439</v>
      </c>
      <c r="CA6" s="115" t="s">
        <v>440</v>
      </c>
      <c r="CB6" s="117" t="s">
        <v>441</v>
      </c>
      <c r="CC6" s="118" t="s">
        <v>442</v>
      </c>
      <c r="CD6" s="115" t="s">
        <v>443</v>
      </c>
      <c r="CE6" s="108" t="s">
        <v>10</v>
      </c>
    </row>
    <row r="7" spans="1:83" ht="16.5" x14ac:dyDescent="0.3">
      <c r="A7" s="38">
        <v>5</v>
      </c>
      <c r="B7" s="112" t="s">
        <v>444</v>
      </c>
      <c r="C7" s="113" t="s">
        <v>445</v>
      </c>
      <c r="D7" s="114" t="s">
        <v>446</v>
      </c>
      <c r="E7" s="112" t="s">
        <v>447</v>
      </c>
      <c r="F7" s="113" t="s">
        <v>448</v>
      </c>
      <c r="G7" s="114" t="s">
        <v>449</v>
      </c>
      <c r="H7" s="112" t="s">
        <v>450</v>
      </c>
      <c r="I7" s="113" t="s">
        <v>451</v>
      </c>
      <c r="J7" s="114" t="s">
        <v>452</v>
      </c>
      <c r="K7" s="112" t="s">
        <v>453</v>
      </c>
      <c r="L7" s="113" t="s">
        <v>454</v>
      </c>
      <c r="M7" s="114" t="s">
        <v>455</v>
      </c>
      <c r="N7" s="112" t="s">
        <v>456</v>
      </c>
      <c r="O7" s="113" t="s">
        <v>457</v>
      </c>
      <c r="P7" s="114" t="s">
        <v>458</v>
      </c>
      <c r="Q7" s="112" t="s">
        <v>459</v>
      </c>
      <c r="R7" s="113" t="s">
        <v>460</v>
      </c>
      <c r="S7" s="114" t="s">
        <v>461</v>
      </c>
      <c r="T7" s="112" t="s">
        <v>462</v>
      </c>
      <c r="U7" s="113" t="s">
        <v>463</v>
      </c>
      <c r="V7" s="115" t="s">
        <v>464</v>
      </c>
      <c r="W7" s="112" t="s">
        <v>465</v>
      </c>
      <c r="X7" s="113" t="s">
        <v>466</v>
      </c>
      <c r="Y7" s="114" t="s">
        <v>467</v>
      </c>
      <c r="Z7" s="112" t="s">
        <v>468</v>
      </c>
      <c r="AA7" s="113" t="s">
        <v>469</v>
      </c>
      <c r="AB7" s="114" t="s">
        <v>470</v>
      </c>
      <c r="AC7" s="112" t="s">
        <v>471</v>
      </c>
      <c r="AD7" s="113" t="s">
        <v>472</v>
      </c>
      <c r="AE7" s="114" t="s">
        <v>473</v>
      </c>
      <c r="AF7" s="112" t="s">
        <v>474</v>
      </c>
      <c r="AG7" s="113" t="s">
        <v>475</v>
      </c>
      <c r="AH7" s="114" t="s">
        <v>476</v>
      </c>
      <c r="AI7" s="112" t="s">
        <v>477</v>
      </c>
      <c r="AJ7" s="113" t="s">
        <v>478</v>
      </c>
      <c r="AK7" s="114" t="s">
        <v>479</v>
      </c>
      <c r="AL7" s="116" t="s">
        <v>480</v>
      </c>
      <c r="AM7" s="113" t="s">
        <v>481</v>
      </c>
      <c r="AN7" s="114" t="s">
        <v>482</v>
      </c>
      <c r="AO7" s="112" t="s">
        <v>483</v>
      </c>
      <c r="AP7" s="113" t="s">
        <v>484</v>
      </c>
      <c r="AQ7" s="114" t="s">
        <v>485</v>
      </c>
      <c r="AR7" s="112" t="s">
        <v>486</v>
      </c>
      <c r="AS7" s="113" t="s">
        <v>487</v>
      </c>
      <c r="AT7" s="114" t="s">
        <v>488</v>
      </c>
      <c r="AU7" s="112" t="s">
        <v>489</v>
      </c>
      <c r="AV7" s="113" t="s">
        <v>490</v>
      </c>
      <c r="AW7" s="114" t="s">
        <v>491</v>
      </c>
      <c r="AX7" s="116" t="s">
        <v>492</v>
      </c>
      <c r="AY7" s="113" t="s">
        <v>493</v>
      </c>
      <c r="AZ7" s="114" t="s">
        <v>494</v>
      </c>
      <c r="BA7" s="112" t="s">
        <v>495</v>
      </c>
      <c r="BB7" s="113" t="s">
        <v>496</v>
      </c>
      <c r="BC7" s="114" t="s">
        <v>497</v>
      </c>
      <c r="BD7" s="117" t="s">
        <v>498</v>
      </c>
      <c r="BE7" s="118" t="s">
        <v>499</v>
      </c>
      <c r="BF7" s="115" t="s">
        <v>500</v>
      </c>
      <c r="BG7" s="117" t="s">
        <v>501</v>
      </c>
      <c r="BH7" s="118" t="s">
        <v>502</v>
      </c>
      <c r="BI7" s="115" t="s">
        <v>503</v>
      </c>
      <c r="BJ7" s="117" t="s">
        <v>504</v>
      </c>
      <c r="BK7" s="118" t="s">
        <v>505</v>
      </c>
      <c r="BL7" s="115" t="s">
        <v>506</v>
      </c>
      <c r="BM7" s="117" t="s">
        <v>507</v>
      </c>
      <c r="BN7" s="118" t="s">
        <v>508</v>
      </c>
      <c r="BO7" s="115" t="s">
        <v>509</v>
      </c>
      <c r="BP7" s="117" t="s">
        <v>510</v>
      </c>
      <c r="BQ7" s="118" t="s">
        <v>511</v>
      </c>
      <c r="BR7" s="115" t="s">
        <v>512</v>
      </c>
      <c r="BS7" s="112" t="s">
        <v>513</v>
      </c>
      <c r="BT7" s="113" t="s">
        <v>514</v>
      </c>
      <c r="BU7" s="114" t="s">
        <v>515</v>
      </c>
      <c r="BV7" s="117" t="s">
        <v>516</v>
      </c>
      <c r="BW7" s="118" t="s">
        <v>517</v>
      </c>
      <c r="BX7" s="115" t="s">
        <v>518</v>
      </c>
      <c r="BY7" s="117" t="s">
        <v>519</v>
      </c>
      <c r="BZ7" s="113" t="s">
        <v>520</v>
      </c>
      <c r="CA7" s="115" t="s">
        <v>521</v>
      </c>
      <c r="CB7" s="117" t="s">
        <v>522</v>
      </c>
      <c r="CC7" s="118" t="s">
        <v>523</v>
      </c>
      <c r="CD7" s="115" t="s">
        <v>524</v>
      </c>
      <c r="CE7" s="108" t="s">
        <v>10</v>
      </c>
    </row>
    <row r="8" spans="1:83" ht="16.5" x14ac:dyDescent="0.3">
      <c r="A8" s="38">
        <v>6</v>
      </c>
      <c r="B8" s="112" t="s">
        <v>525</v>
      </c>
      <c r="C8" s="113" t="s">
        <v>526</v>
      </c>
      <c r="D8" s="114" t="s">
        <v>527</v>
      </c>
      <c r="E8" s="112" t="s">
        <v>528</v>
      </c>
      <c r="F8" s="113" t="s">
        <v>529</v>
      </c>
      <c r="G8" s="114" t="s">
        <v>530</v>
      </c>
      <c r="H8" s="112" t="s">
        <v>531</v>
      </c>
      <c r="I8" s="113" t="s">
        <v>532</v>
      </c>
      <c r="J8" s="114" t="s">
        <v>533</v>
      </c>
      <c r="K8" s="112" t="s">
        <v>534</v>
      </c>
      <c r="L8" s="113" t="s">
        <v>535</v>
      </c>
      <c r="M8" s="114" t="s">
        <v>536</v>
      </c>
      <c r="N8" s="112" t="s">
        <v>537</v>
      </c>
      <c r="O8" s="113" t="s">
        <v>538</v>
      </c>
      <c r="P8" s="114" t="s">
        <v>539</v>
      </c>
      <c r="Q8" s="112" t="s">
        <v>540</v>
      </c>
      <c r="R8" s="113" t="s">
        <v>541</v>
      </c>
      <c r="S8" s="114" t="s">
        <v>542</v>
      </c>
      <c r="T8" s="112" t="s">
        <v>543</v>
      </c>
      <c r="U8" s="113" t="s">
        <v>544</v>
      </c>
      <c r="V8" s="120" t="s">
        <v>545</v>
      </c>
      <c r="W8" s="112" t="s">
        <v>546</v>
      </c>
      <c r="X8" s="113" t="s">
        <v>547</v>
      </c>
      <c r="Y8" s="114" t="s">
        <v>548</v>
      </c>
      <c r="Z8" s="112" t="s">
        <v>549</v>
      </c>
      <c r="AA8" s="113" t="s">
        <v>550</v>
      </c>
      <c r="AB8" s="114" t="s">
        <v>551</v>
      </c>
      <c r="AC8" s="112" t="s">
        <v>552</v>
      </c>
      <c r="AD8" s="113" t="s">
        <v>553</v>
      </c>
      <c r="AE8" s="114" t="s">
        <v>554</v>
      </c>
      <c r="AF8" s="112" t="s">
        <v>555</v>
      </c>
      <c r="AG8" s="113" t="s">
        <v>556</v>
      </c>
      <c r="AH8" s="114" t="s">
        <v>557</v>
      </c>
      <c r="AI8" s="112" t="s">
        <v>558</v>
      </c>
      <c r="AJ8" s="113" t="s">
        <v>559</v>
      </c>
      <c r="AK8" s="114" t="s">
        <v>560</v>
      </c>
      <c r="AL8" s="116" t="s">
        <v>561</v>
      </c>
      <c r="AM8" s="113" t="s">
        <v>562</v>
      </c>
      <c r="AN8" s="114" t="s">
        <v>563</v>
      </c>
      <c r="AO8" s="112" t="s">
        <v>564</v>
      </c>
      <c r="AP8" s="113" t="s">
        <v>565</v>
      </c>
      <c r="AQ8" s="114" t="s">
        <v>566</v>
      </c>
      <c r="AR8" s="112" t="s">
        <v>567</v>
      </c>
      <c r="AS8" s="113" t="s">
        <v>568</v>
      </c>
      <c r="AT8" s="114" t="s">
        <v>569</v>
      </c>
      <c r="AU8" s="112" t="s">
        <v>570</v>
      </c>
      <c r="AV8" s="113" t="s">
        <v>571</v>
      </c>
      <c r="AW8" s="114" t="s">
        <v>572</v>
      </c>
      <c r="AX8" s="116" t="s">
        <v>573</v>
      </c>
      <c r="AY8" s="113" t="s">
        <v>574</v>
      </c>
      <c r="AZ8" s="114" t="s">
        <v>575</v>
      </c>
      <c r="BA8" s="112" t="s">
        <v>576</v>
      </c>
      <c r="BB8" s="113" t="s">
        <v>577</v>
      </c>
      <c r="BC8" s="114" t="s">
        <v>578</v>
      </c>
      <c r="BD8" s="117" t="s">
        <v>579</v>
      </c>
      <c r="BE8" s="118" t="s">
        <v>580</v>
      </c>
      <c r="BF8" s="115" t="s">
        <v>581</v>
      </c>
      <c r="BG8" s="117" t="s">
        <v>582</v>
      </c>
      <c r="BH8" s="118" t="s">
        <v>583</v>
      </c>
      <c r="BI8" s="115" t="s">
        <v>584</v>
      </c>
      <c r="BJ8" s="117" t="s">
        <v>585</v>
      </c>
      <c r="BK8" s="118" t="s">
        <v>586</v>
      </c>
      <c r="BL8" s="115" t="s">
        <v>587</v>
      </c>
      <c r="BM8" s="117" t="s">
        <v>588</v>
      </c>
      <c r="BN8" s="118" t="s">
        <v>589</v>
      </c>
      <c r="BO8" s="115" t="s">
        <v>590</v>
      </c>
      <c r="BP8" s="117" t="s">
        <v>591</v>
      </c>
      <c r="BQ8" s="118" t="s">
        <v>592</v>
      </c>
      <c r="BR8" s="115" t="s">
        <v>593</v>
      </c>
      <c r="BS8" s="112" t="s">
        <v>594</v>
      </c>
      <c r="BT8" s="113" t="s">
        <v>595</v>
      </c>
      <c r="BU8" s="114" t="s">
        <v>596</v>
      </c>
      <c r="BV8" s="117" t="s">
        <v>597</v>
      </c>
      <c r="BW8" s="118" t="s">
        <v>598</v>
      </c>
      <c r="BX8" s="115" t="s">
        <v>599</v>
      </c>
      <c r="BY8" s="117" t="s">
        <v>600</v>
      </c>
      <c r="BZ8" s="118" t="s">
        <v>601</v>
      </c>
      <c r="CA8" s="115" t="s">
        <v>602</v>
      </c>
      <c r="CB8" s="117" t="s">
        <v>603</v>
      </c>
      <c r="CC8" s="118" t="s">
        <v>604</v>
      </c>
      <c r="CD8" s="115" t="s">
        <v>605</v>
      </c>
      <c r="CE8" s="108" t="s">
        <v>10</v>
      </c>
    </row>
    <row r="9" spans="1:83" ht="16.5" x14ac:dyDescent="0.3">
      <c r="A9" s="38">
        <v>7</v>
      </c>
      <c r="B9" s="112" t="s">
        <v>606</v>
      </c>
      <c r="C9" s="113" t="s">
        <v>607</v>
      </c>
      <c r="D9" s="114" t="s">
        <v>608</v>
      </c>
      <c r="E9" s="112" t="s">
        <v>609</v>
      </c>
      <c r="F9" s="113" t="s">
        <v>610</v>
      </c>
      <c r="G9" s="114" t="s">
        <v>611</v>
      </c>
      <c r="H9" s="112" t="s">
        <v>612</v>
      </c>
      <c r="I9" s="113" t="s">
        <v>613</v>
      </c>
      <c r="J9" s="114" t="s">
        <v>614</v>
      </c>
      <c r="K9" s="112" t="s">
        <v>615</v>
      </c>
      <c r="L9" s="113" t="s">
        <v>616</v>
      </c>
      <c r="M9" s="114" t="s">
        <v>617</v>
      </c>
      <c r="N9" s="112" t="s">
        <v>618</v>
      </c>
      <c r="O9" s="113" t="s">
        <v>619</v>
      </c>
      <c r="P9" s="114" t="s">
        <v>620</v>
      </c>
      <c r="Q9" s="112" t="s">
        <v>621</v>
      </c>
      <c r="R9" s="113" t="s">
        <v>622</v>
      </c>
      <c r="S9" s="114" t="s">
        <v>623</v>
      </c>
      <c r="T9" s="112" t="s">
        <v>624</v>
      </c>
      <c r="U9" s="113" t="s">
        <v>625</v>
      </c>
      <c r="V9" s="115" t="s">
        <v>626</v>
      </c>
      <c r="W9" s="112" t="s">
        <v>627</v>
      </c>
      <c r="X9" s="113" t="s">
        <v>628</v>
      </c>
      <c r="Y9" s="114" t="s">
        <v>629</v>
      </c>
      <c r="Z9" s="112" t="s">
        <v>630</v>
      </c>
      <c r="AA9" s="113" t="s">
        <v>631</v>
      </c>
      <c r="AB9" s="114" t="s">
        <v>632</v>
      </c>
      <c r="AC9" s="112" t="s">
        <v>633</v>
      </c>
      <c r="AD9" s="113" t="s">
        <v>634</v>
      </c>
      <c r="AE9" s="114" t="s">
        <v>635</v>
      </c>
      <c r="AF9" s="112" t="s">
        <v>636</v>
      </c>
      <c r="AG9" s="113" t="s">
        <v>637</v>
      </c>
      <c r="AH9" s="114" t="s">
        <v>638</v>
      </c>
      <c r="AI9" s="112" t="s">
        <v>639</v>
      </c>
      <c r="AJ9" s="113" t="s">
        <v>640</v>
      </c>
      <c r="AK9" s="114" t="s">
        <v>641</v>
      </c>
      <c r="AL9" s="116" t="s">
        <v>642</v>
      </c>
      <c r="AM9" s="113" t="s">
        <v>643</v>
      </c>
      <c r="AN9" s="114" t="s">
        <v>644</v>
      </c>
      <c r="AO9" s="112" t="s">
        <v>645</v>
      </c>
      <c r="AP9" s="113" t="s">
        <v>646</v>
      </c>
      <c r="AQ9" s="114" t="s">
        <v>647</v>
      </c>
      <c r="AR9" s="112" t="s">
        <v>648</v>
      </c>
      <c r="AS9" s="113" t="s">
        <v>649</v>
      </c>
      <c r="AT9" s="114" t="s">
        <v>650</v>
      </c>
      <c r="AU9" s="112" t="s">
        <v>651</v>
      </c>
      <c r="AV9" s="113" t="s">
        <v>652</v>
      </c>
      <c r="AW9" s="114" t="s">
        <v>653</v>
      </c>
      <c r="AX9" s="116" t="s">
        <v>654</v>
      </c>
      <c r="AY9" s="113" t="s">
        <v>655</v>
      </c>
      <c r="AZ9" s="114" t="s">
        <v>656</v>
      </c>
      <c r="BA9" s="112" t="s">
        <v>657</v>
      </c>
      <c r="BB9" s="113" t="s">
        <v>658</v>
      </c>
      <c r="BC9" s="114" t="s">
        <v>659</v>
      </c>
      <c r="BD9" s="117" t="s">
        <v>660</v>
      </c>
      <c r="BE9" s="118" t="s">
        <v>661</v>
      </c>
      <c r="BF9" s="115" t="s">
        <v>662</v>
      </c>
      <c r="BG9" s="117" t="s">
        <v>663</v>
      </c>
      <c r="BH9" s="118" t="s">
        <v>664</v>
      </c>
      <c r="BI9" s="115" t="s">
        <v>665</v>
      </c>
      <c r="BJ9" s="117" t="s">
        <v>666</v>
      </c>
      <c r="BK9" s="118" t="s">
        <v>667</v>
      </c>
      <c r="BL9" s="115" t="s">
        <v>668</v>
      </c>
      <c r="BM9" s="117" t="s">
        <v>669</v>
      </c>
      <c r="BN9" s="118" t="s">
        <v>670</v>
      </c>
      <c r="BO9" s="115" t="s">
        <v>671</v>
      </c>
      <c r="BP9" s="117" t="s">
        <v>672</v>
      </c>
      <c r="BQ9" s="118" t="s">
        <v>673</v>
      </c>
      <c r="BR9" s="115" t="s">
        <v>674</v>
      </c>
      <c r="BS9" s="112" t="s">
        <v>675</v>
      </c>
      <c r="BT9" s="113" t="s">
        <v>676</v>
      </c>
      <c r="BU9" s="114" t="s">
        <v>677</v>
      </c>
      <c r="BV9" s="117" t="s">
        <v>678</v>
      </c>
      <c r="BW9" s="118" t="s">
        <v>679</v>
      </c>
      <c r="BX9" s="115" t="s">
        <v>680</v>
      </c>
      <c r="BY9" s="117" t="s">
        <v>681</v>
      </c>
      <c r="BZ9" s="113" t="s">
        <v>682</v>
      </c>
      <c r="CA9" s="115" t="s">
        <v>683</v>
      </c>
      <c r="CB9" s="117" t="s">
        <v>684</v>
      </c>
      <c r="CC9" s="118" t="s">
        <v>685</v>
      </c>
      <c r="CD9" s="115" t="s">
        <v>686</v>
      </c>
      <c r="CE9" s="108" t="s">
        <v>10</v>
      </c>
    </row>
    <row r="10" spans="1:83" ht="16.5" x14ac:dyDescent="0.3">
      <c r="A10" s="38">
        <v>8</v>
      </c>
      <c r="B10" s="112" t="s">
        <v>687</v>
      </c>
      <c r="C10" s="113" t="s">
        <v>688</v>
      </c>
      <c r="D10" s="114" t="s">
        <v>689</v>
      </c>
      <c r="E10" s="112" t="s">
        <v>690</v>
      </c>
      <c r="F10" s="113" t="s">
        <v>691</v>
      </c>
      <c r="G10" s="114" t="s">
        <v>692</v>
      </c>
      <c r="H10" s="112" t="s">
        <v>693</v>
      </c>
      <c r="I10" s="113" t="s">
        <v>694</v>
      </c>
      <c r="J10" s="114" t="s">
        <v>695</v>
      </c>
      <c r="K10" s="112" t="s">
        <v>696</v>
      </c>
      <c r="L10" s="113" t="s">
        <v>697</v>
      </c>
      <c r="M10" s="114" t="s">
        <v>698</v>
      </c>
      <c r="N10" s="112" t="s">
        <v>699</v>
      </c>
      <c r="O10" s="113" t="s">
        <v>700</v>
      </c>
      <c r="P10" s="114" t="s">
        <v>701</v>
      </c>
      <c r="Q10" s="112" t="s">
        <v>702</v>
      </c>
      <c r="R10" s="113" t="s">
        <v>703</v>
      </c>
      <c r="S10" s="114" t="s">
        <v>704</v>
      </c>
      <c r="T10" s="112" t="s">
        <v>705</v>
      </c>
      <c r="U10" s="113" t="s">
        <v>706</v>
      </c>
      <c r="V10" s="115" t="s">
        <v>707</v>
      </c>
      <c r="W10" s="112" t="s">
        <v>708</v>
      </c>
      <c r="X10" s="113" t="s">
        <v>709</v>
      </c>
      <c r="Y10" s="114" t="s">
        <v>710</v>
      </c>
      <c r="Z10" s="112" t="s">
        <v>711</v>
      </c>
      <c r="AA10" s="113" t="s">
        <v>712</v>
      </c>
      <c r="AB10" s="114" t="s">
        <v>713</v>
      </c>
      <c r="AC10" s="112" t="s">
        <v>714</v>
      </c>
      <c r="AD10" s="113" t="s">
        <v>715</v>
      </c>
      <c r="AE10" s="114" t="s">
        <v>716</v>
      </c>
      <c r="AF10" s="112" t="s">
        <v>717</v>
      </c>
      <c r="AG10" s="113" t="s">
        <v>718</v>
      </c>
      <c r="AH10" s="114" t="s">
        <v>719</v>
      </c>
      <c r="AI10" s="112" t="s">
        <v>720</v>
      </c>
      <c r="AJ10" s="113" t="s">
        <v>721</v>
      </c>
      <c r="AK10" s="114" t="s">
        <v>722</v>
      </c>
      <c r="AL10" s="116" t="s">
        <v>723</v>
      </c>
      <c r="AM10" s="113" t="s">
        <v>724</v>
      </c>
      <c r="AN10" s="114" t="s">
        <v>725</v>
      </c>
      <c r="AO10" s="112" t="s">
        <v>726</v>
      </c>
      <c r="AP10" s="113" t="s">
        <v>727</v>
      </c>
      <c r="AQ10" s="114" t="s">
        <v>728</v>
      </c>
      <c r="AR10" s="112" t="s">
        <v>729</v>
      </c>
      <c r="AS10" s="113" t="s">
        <v>730</v>
      </c>
      <c r="AT10" s="114" t="s">
        <v>731</v>
      </c>
      <c r="AU10" s="112" t="s">
        <v>732</v>
      </c>
      <c r="AV10" s="113" t="s">
        <v>733</v>
      </c>
      <c r="AW10" s="114" t="s">
        <v>734</v>
      </c>
      <c r="AX10" s="116" t="s">
        <v>735</v>
      </c>
      <c r="AY10" s="113" t="s">
        <v>736</v>
      </c>
      <c r="AZ10" s="114" t="s">
        <v>737</v>
      </c>
      <c r="BA10" s="112" t="s">
        <v>738</v>
      </c>
      <c r="BB10" s="113" t="s">
        <v>739</v>
      </c>
      <c r="BC10" s="114" t="s">
        <v>740</v>
      </c>
      <c r="BD10" s="117" t="s">
        <v>741</v>
      </c>
      <c r="BE10" s="118" t="s">
        <v>742</v>
      </c>
      <c r="BF10" s="115" t="s">
        <v>743</v>
      </c>
      <c r="BG10" s="117" t="s">
        <v>744</v>
      </c>
      <c r="BH10" s="118" t="s">
        <v>745</v>
      </c>
      <c r="BI10" s="115" t="s">
        <v>746</v>
      </c>
      <c r="BJ10" s="117" t="s">
        <v>747</v>
      </c>
      <c r="BK10" s="118" t="s">
        <v>748</v>
      </c>
      <c r="BL10" s="115" t="s">
        <v>749</v>
      </c>
      <c r="BM10" s="117" t="s">
        <v>750</v>
      </c>
      <c r="BN10" s="118" t="s">
        <v>751</v>
      </c>
      <c r="BO10" s="115" t="s">
        <v>752</v>
      </c>
      <c r="BP10" s="117" t="s">
        <v>753</v>
      </c>
      <c r="BQ10" s="118" t="s">
        <v>754</v>
      </c>
      <c r="BR10" s="115" t="s">
        <v>755</v>
      </c>
      <c r="BS10" s="112" t="s">
        <v>756</v>
      </c>
      <c r="BT10" s="113" t="s">
        <v>757</v>
      </c>
      <c r="BU10" s="114" t="s">
        <v>758</v>
      </c>
      <c r="BV10" s="117" t="s">
        <v>759</v>
      </c>
      <c r="BW10" s="118" t="s">
        <v>760</v>
      </c>
      <c r="BX10" s="115" t="s">
        <v>761</v>
      </c>
      <c r="BY10" s="117" t="s">
        <v>762</v>
      </c>
      <c r="BZ10" s="118" t="s">
        <v>763</v>
      </c>
      <c r="CA10" s="115" t="s">
        <v>764</v>
      </c>
      <c r="CB10" s="117" t="s">
        <v>765</v>
      </c>
      <c r="CC10" s="118" t="s">
        <v>766</v>
      </c>
      <c r="CD10" s="115" t="s">
        <v>767</v>
      </c>
      <c r="CE10" s="108" t="s">
        <v>10</v>
      </c>
    </row>
    <row r="11" spans="1:83" ht="16.5" x14ac:dyDescent="0.3">
      <c r="A11" s="38">
        <v>9</v>
      </c>
      <c r="B11" s="112" t="s">
        <v>768</v>
      </c>
      <c r="C11" s="113" t="s">
        <v>769</v>
      </c>
      <c r="D11" s="114" t="s">
        <v>770</v>
      </c>
      <c r="E11" s="112" t="s">
        <v>771</v>
      </c>
      <c r="F11" s="113" t="s">
        <v>772</v>
      </c>
      <c r="G11" s="114" t="s">
        <v>773</v>
      </c>
      <c r="H11" s="112" t="s">
        <v>774</v>
      </c>
      <c r="I11" s="113" t="s">
        <v>775</v>
      </c>
      <c r="J11" s="114" t="s">
        <v>776</v>
      </c>
      <c r="K11" s="112" t="s">
        <v>777</v>
      </c>
      <c r="L11" s="113" t="s">
        <v>778</v>
      </c>
      <c r="M11" s="114" t="s">
        <v>779</v>
      </c>
      <c r="N11" s="112" t="s">
        <v>780</v>
      </c>
      <c r="O11" s="113" t="s">
        <v>781</v>
      </c>
      <c r="P11" s="114" t="s">
        <v>782</v>
      </c>
      <c r="Q11" s="112" t="s">
        <v>783</v>
      </c>
      <c r="R11" s="113" t="s">
        <v>784</v>
      </c>
      <c r="S11" s="114" t="s">
        <v>785</v>
      </c>
      <c r="T11" s="112" t="s">
        <v>786</v>
      </c>
      <c r="U11" s="113" t="s">
        <v>787</v>
      </c>
      <c r="V11" s="115" t="s">
        <v>788</v>
      </c>
      <c r="W11" s="112" t="s">
        <v>789</v>
      </c>
      <c r="X11" s="113" t="s">
        <v>790</v>
      </c>
      <c r="Y11" s="114" t="s">
        <v>791</v>
      </c>
      <c r="Z11" s="112" t="s">
        <v>792</v>
      </c>
      <c r="AA11" s="113" t="s">
        <v>793</v>
      </c>
      <c r="AB11" s="114" t="s">
        <v>794</v>
      </c>
      <c r="AC11" s="112" t="s">
        <v>795</v>
      </c>
      <c r="AD11" s="113" t="s">
        <v>796</v>
      </c>
      <c r="AE11" s="114" t="s">
        <v>797</v>
      </c>
      <c r="AF11" s="112" t="s">
        <v>798</v>
      </c>
      <c r="AG11" s="113" t="s">
        <v>799</v>
      </c>
      <c r="AH11" s="114" t="s">
        <v>800</v>
      </c>
      <c r="AI11" s="112" t="s">
        <v>801</v>
      </c>
      <c r="AJ11" s="113" t="s">
        <v>802</v>
      </c>
      <c r="AK11" s="114" t="s">
        <v>803</v>
      </c>
      <c r="AL11" s="116" t="s">
        <v>804</v>
      </c>
      <c r="AM11" s="113" t="s">
        <v>805</v>
      </c>
      <c r="AN11" s="114" t="s">
        <v>806</v>
      </c>
      <c r="AO11" s="112" t="s">
        <v>807</v>
      </c>
      <c r="AP11" s="113" t="s">
        <v>808</v>
      </c>
      <c r="AQ11" s="114" t="s">
        <v>809</v>
      </c>
      <c r="AR11" s="112" t="s">
        <v>810</v>
      </c>
      <c r="AS11" s="113" t="s">
        <v>811</v>
      </c>
      <c r="AT11" s="114" t="s">
        <v>812</v>
      </c>
      <c r="AU11" s="112" t="s">
        <v>813</v>
      </c>
      <c r="AV11" s="113" t="s">
        <v>814</v>
      </c>
      <c r="AW11" s="114" t="s">
        <v>815</v>
      </c>
      <c r="AX11" s="116" t="s">
        <v>816</v>
      </c>
      <c r="AY11" s="113" t="s">
        <v>817</v>
      </c>
      <c r="AZ11" s="114" t="s">
        <v>818</v>
      </c>
      <c r="BA11" s="112" t="s">
        <v>819</v>
      </c>
      <c r="BB11" s="113" t="s">
        <v>820</v>
      </c>
      <c r="BC11" s="114" t="s">
        <v>821</v>
      </c>
      <c r="BD11" s="117" t="s">
        <v>822</v>
      </c>
      <c r="BE11" s="118" t="s">
        <v>823</v>
      </c>
      <c r="BF11" s="115" t="s">
        <v>824</v>
      </c>
      <c r="BG11" s="117" t="s">
        <v>825</v>
      </c>
      <c r="BH11" s="118" t="s">
        <v>826</v>
      </c>
      <c r="BI11" s="115" t="s">
        <v>827</v>
      </c>
      <c r="BJ11" s="117" t="s">
        <v>828</v>
      </c>
      <c r="BK11" s="118" t="s">
        <v>829</v>
      </c>
      <c r="BL11" s="115" t="s">
        <v>830</v>
      </c>
      <c r="BM11" s="117" t="s">
        <v>831</v>
      </c>
      <c r="BN11" s="118" t="s">
        <v>832</v>
      </c>
      <c r="BO11" s="115" t="s">
        <v>833</v>
      </c>
      <c r="BP11" s="117" t="s">
        <v>834</v>
      </c>
      <c r="BQ11" s="118" t="s">
        <v>835</v>
      </c>
      <c r="BR11" s="115" t="s">
        <v>836</v>
      </c>
      <c r="BS11" s="112" t="s">
        <v>837</v>
      </c>
      <c r="BT11" s="113" t="s">
        <v>838</v>
      </c>
      <c r="BU11" s="114" t="s">
        <v>839</v>
      </c>
      <c r="BV11" s="117" t="s">
        <v>840</v>
      </c>
      <c r="BW11" s="118" t="s">
        <v>841</v>
      </c>
      <c r="BX11" s="115" t="s">
        <v>842</v>
      </c>
      <c r="BY11" s="117" t="s">
        <v>843</v>
      </c>
      <c r="BZ11" s="113" t="s">
        <v>844</v>
      </c>
      <c r="CA11" s="115" t="s">
        <v>845</v>
      </c>
      <c r="CB11" s="117" t="s">
        <v>846</v>
      </c>
      <c r="CC11" s="118" t="s">
        <v>847</v>
      </c>
      <c r="CD11" s="115" t="s">
        <v>848</v>
      </c>
      <c r="CE11" s="108" t="s">
        <v>10</v>
      </c>
    </row>
    <row r="12" spans="1:83" ht="16.5" x14ac:dyDescent="0.3">
      <c r="A12" s="38">
        <v>10</v>
      </c>
      <c r="B12" s="112" t="s">
        <v>849</v>
      </c>
      <c r="C12" s="113" t="s">
        <v>850</v>
      </c>
      <c r="D12" s="114" t="s">
        <v>851</v>
      </c>
      <c r="E12" s="112" t="s">
        <v>852</v>
      </c>
      <c r="F12" s="113" t="s">
        <v>853</v>
      </c>
      <c r="G12" s="114" t="s">
        <v>854</v>
      </c>
      <c r="H12" s="112" t="s">
        <v>855</v>
      </c>
      <c r="I12" s="113" t="s">
        <v>856</v>
      </c>
      <c r="J12" s="114" t="s">
        <v>857</v>
      </c>
      <c r="K12" s="112" t="s">
        <v>858</v>
      </c>
      <c r="L12" s="113" t="s">
        <v>859</v>
      </c>
      <c r="M12" s="114" t="s">
        <v>860</v>
      </c>
      <c r="N12" s="112" t="s">
        <v>861</v>
      </c>
      <c r="O12" s="113" t="s">
        <v>862</v>
      </c>
      <c r="P12" s="114" t="s">
        <v>863</v>
      </c>
      <c r="Q12" s="112" t="s">
        <v>864</v>
      </c>
      <c r="R12" s="113" t="s">
        <v>865</v>
      </c>
      <c r="S12" s="114" t="s">
        <v>866</v>
      </c>
      <c r="T12" s="112" t="s">
        <v>867</v>
      </c>
      <c r="U12" s="113" t="s">
        <v>868</v>
      </c>
      <c r="V12" s="117" t="s">
        <v>869</v>
      </c>
      <c r="W12" s="112" t="s">
        <v>870</v>
      </c>
      <c r="X12" s="113" t="s">
        <v>871</v>
      </c>
      <c r="Y12" s="114" t="s">
        <v>872</v>
      </c>
      <c r="Z12" s="112" t="s">
        <v>873</v>
      </c>
      <c r="AA12" s="113" t="s">
        <v>874</v>
      </c>
      <c r="AB12" s="114" t="s">
        <v>875</v>
      </c>
      <c r="AC12" s="112" t="s">
        <v>876</v>
      </c>
      <c r="AD12" s="113" t="s">
        <v>877</v>
      </c>
      <c r="AE12" s="114" t="s">
        <v>878</v>
      </c>
      <c r="AF12" s="112" t="s">
        <v>879</v>
      </c>
      <c r="AG12" s="113" t="s">
        <v>880</v>
      </c>
      <c r="AH12" s="114" t="s">
        <v>881</v>
      </c>
      <c r="AI12" s="112" t="s">
        <v>882</v>
      </c>
      <c r="AJ12" s="113" t="s">
        <v>883</v>
      </c>
      <c r="AK12" s="114" t="s">
        <v>884</v>
      </c>
      <c r="AL12" s="116" t="s">
        <v>885</v>
      </c>
      <c r="AM12" s="113" t="s">
        <v>886</v>
      </c>
      <c r="AN12" s="114" t="s">
        <v>887</v>
      </c>
      <c r="AO12" s="112" t="s">
        <v>888</v>
      </c>
      <c r="AP12" s="113" t="s">
        <v>889</v>
      </c>
      <c r="AQ12" s="114" t="s">
        <v>890</v>
      </c>
      <c r="AR12" s="112" t="s">
        <v>891</v>
      </c>
      <c r="AS12" s="113" t="s">
        <v>892</v>
      </c>
      <c r="AT12" s="114" t="s">
        <v>893</v>
      </c>
      <c r="AU12" s="112" t="s">
        <v>894</v>
      </c>
      <c r="AV12" s="113" t="s">
        <v>895</v>
      </c>
      <c r="AW12" s="114" t="s">
        <v>896</v>
      </c>
      <c r="AX12" s="116" t="s">
        <v>897</v>
      </c>
      <c r="AY12" s="113" t="s">
        <v>898</v>
      </c>
      <c r="AZ12" s="114" t="s">
        <v>899</v>
      </c>
      <c r="BA12" s="112" t="s">
        <v>900</v>
      </c>
      <c r="BB12" s="113" t="s">
        <v>901</v>
      </c>
      <c r="BC12" s="114" t="s">
        <v>902</v>
      </c>
      <c r="BD12" s="117" t="s">
        <v>903</v>
      </c>
      <c r="BE12" s="118" t="s">
        <v>904</v>
      </c>
      <c r="BF12" s="115" t="s">
        <v>905</v>
      </c>
      <c r="BG12" s="117" t="s">
        <v>906</v>
      </c>
      <c r="BH12" s="118" t="s">
        <v>907</v>
      </c>
      <c r="BI12" s="115" t="s">
        <v>908</v>
      </c>
      <c r="BJ12" s="117" t="s">
        <v>909</v>
      </c>
      <c r="BK12" s="118" t="s">
        <v>910</v>
      </c>
      <c r="BL12" s="115" t="s">
        <v>911</v>
      </c>
      <c r="BM12" s="117" t="s">
        <v>912</v>
      </c>
      <c r="BN12" s="118" t="s">
        <v>913</v>
      </c>
      <c r="BO12" s="115" t="s">
        <v>914</v>
      </c>
      <c r="BP12" s="117" t="s">
        <v>915</v>
      </c>
      <c r="BQ12" s="118" t="s">
        <v>916</v>
      </c>
      <c r="BR12" s="115" t="s">
        <v>917</v>
      </c>
      <c r="BS12" s="112" t="s">
        <v>918</v>
      </c>
      <c r="BT12" s="113" t="s">
        <v>919</v>
      </c>
      <c r="BU12" s="114" t="s">
        <v>920</v>
      </c>
      <c r="BV12" s="117" t="s">
        <v>921</v>
      </c>
      <c r="BW12" s="118" t="s">
        <v>922</v>
      </c>
      <c r="BX12" s="115" t="s">
        <v>923</v>
      </c>
      <c r="BY12" s="117" t="s">
        <v>924</v>
      </c>
      <c r="BZ12" s="118" t="s">
        <v>925</v>
      </c>
      <c r="CA12" s="115" t="s">
        <v>926</v>
      </c>
      <c r="CB12" s="117" t="s">
        <v>927</v>
      </c>
      <c r="CC12" s="118" t="s">
        <v>928</v>
      </c>
      <c r="CD12" s="115" t="s">
        <v>929</v>
      </c>
      <c r="CE12" s="108" t="s">
        <v>10</v>
      </c>
    </row>
    <row r="13" spans="1:83" ht="16.5" x14ac:dyDescent="0.3">
      <c r="A13" s="38">
        <v>11</v>
      </c>
      <c r="B13" s="112" t="s">
        <v>930</v>
      </c>
      <c r="C13" s="113" t="s">
        <v>931</v>
      </c>
      <c r="D13" s="114" t="s">
        <v>932</v>
      </c>
      <c r="E13" s="112" t="s">
        <v>933</v>
      </c>
      <c r="F13" s="113" t="s">
        <v>934</v>
      </c>
      <c r="G13" s="114" t="s">
        <v>935</v>
      </c>
      <c r="H13" s="112" t="s">
        <v>936</v>
      </c>
      <c r="I13" s="113" t="s">
        <v>937</v>
      </c>
      <c r="J13" s="114" t="s">
        <v>938</v>
      </c>
      <c r="K13" s="112" t="s">
        <v>939</v>
      </c>
      <c r="L13" s="113" t="s">
        <v>940</v>
      </c>
      <c r="M13" s="114" t="s">
        <v>941</v>
      </c>
      <c r="N13" s="112" t="s">
        <v>942</v>
      </c>
      <c r="O13" s="113" t="s">
        <v>943</v>
      </c>
      <c r="P13" s="114" t="s">
        <v>944</v>
      </c>
      <c r="Q13" s="112" t="s">
        <v>945</v>
      </c>
      <c r="R13" s="113" t="s">
        <v>946</v>
      </c>
      <c r="S13" s="114" t="s">
        <v>947</v>
      </c>
      <c r="T13" s="112" t="s">
        <v>948</v>
      </c>
      <c r="U13" s="113" t="s">
        <v>949</v>
      </c>
      <c r="V13" s="115" t="s">
        <v>950</v>
      </c>
      <c r="W13" s="112" t="s">
        <v>951</v>
      </c>
      <c r="X13" s="113" t="s">
        <v>952</v>
      </c>
      <c r="Y13" s="114" t="s">
        <v>953</v>
      </c>
      <c r="Z13" s="112" t="s">
        <v>954</v>
      </c>
      <c r="AA13" s="113" t="s">
        <v>955</v>
      </c>
      <c r="AB13" s="114" t="s">
        <v>956</v>
      </c>
      <c r="AC13" s="112" t="s">
        <v>957</v>
      </c>
      <c r="AD13" s="113" t="s">
        <v>958</v>
      </c>
      <c r="AE13" s="114" t="s">
        <v>959</v>
      </c>
      <c r="AF13" s="112" t="s">
        <v>960</v>
      </c>
      <c r="AG13" s="113" t="s">
        <v>961</v>
      </c>
      <c r="AH13" s="114" t="s">
        <v>962</v>
      </c>
      <c r="AI13" s="112" t="s">
        <v>963</v>
      </c>
      <c r="AJ13" s="113" t="s">
        <v>964</v>
      </c>
      <c r="AK13" s="114" t="s">
        <v>965</v>
      </c>
      <c r="AL13" s="116" t="s">
        <v>966</v>
      </c>
      <c r="AM13" s="113" t="s">
        <v>967</v>
      </c>
      <c r="AN13" s="114" t="s">
        <v>968</v>
      </c>
      <c r="AO13" s="112" t="s">
        <v>969</v>
      </c>
      <c r="AP13" s="113" t="s">
        <v>970</v>
      </c>
      <c r="AQ13" s="114" t="s">
        <v>971</v>
      </c>
      <c r="AR13" s="112" t="s">
        <v>972</v>
      </c>
      <c r="AS13" s="113" t="s">
        <v>973</v>
      </c>
      <c r="AT13" s="114" t="s">
        <v>974</v>
      </c>
      <c r="AU13" s="112" t="s">
        <v>975</v>
      </c>
      <c r="AV13" s="113" t="s">
        <v>976</v>
      </c>
      <c r="AW13" s="114" t="s">
        <v>977</v>
      </c>
      <c r="AX13" s="116" t="s">
        <v>978</v>
      </c>
      <c r="AY13" s="113" t="s">
        <v>979</v>
      </c>
      <c r="AZ13" s="114" t="s">
        <v>980</v>
      </c>
      <c r="BA13" s="112" t="s">
        <v>981</v>
      </c>
      <c r="BB13" s="113" t="s">
        <v>982</v>
      </c>
      <c r="BC13" s="114" t="s">
        <v>983</v>
      </c>
      <c r="BD13" s="117" t="s">
        <v>984</v>
      </c>
      <c r="BE13" s="118" t="s">
        <v>985</v>
      </c>
      <c r="BF13" s="115" t="s">
        <v>986</v>
      </c>
      <c r="BG13" s="117" t="s">
        <v>987</v>
      </c>
      <c r="BH13" s="118" t="s">
        <v>988</v>
      </c>
      <c r="BI13" s="115" t="s">
        <v>989</v>
      </c>
      <c r="BJ13" s="117" t="s">
        <v>990</v>
      </c>
      <c r="BK13" s="118" t="s">
        <v>991</v>
      </c>
      <c r="BL13" s="115" t="s">
        <v>992</v>
      </c>
      <c r="BM13" s="117" t="s">
        <v>993</v>
      </c>
      <c r="BN13" s="118" t="s">
        <v>994</v>
      </c>
      <c r="BO13" s="115" t="s">
        <v>995</v>
      </c>
      <c r="BP13" s="117" t="s">
        <v>996</v>
      </c>
      <c r="BQ13" s="118" t="s">
        <v>997</v>
      </c>
      <c r="BR13" s="115" t="s">
        <v>998</v>
      </c>
      <c r="BS13" s="112" t="s">
        <v>999</v>
      </c>
      <c r="BT13" s="113" t="s">
        <v>1000</v>
      </c>
      <c r="BU13" s="114" t="s">
        <v>1001</v>
      </c>
      <c r="BV13" s="117" t="s">
        <v>1002</v>
      </c>
      <c r="BW13" s="118" t="s">
        <v>1003</v>
      </c>
      <c r="BX13" s="115" t="s">
        <v>1004</v>
      </c>
      <c r="BY13" s="117" t="s">
        <v>1005</v>
      </c>
      <c r="BZ13" s="113" t="s">
        <v>1006</v>
      </c>
      <c r="CA13" s="115" t="s">
        <v>1007</v>
      </c>
      <c r="CB13" s="117" t="s">
        <v>1008</v>
      </c>
      <c r="CC13" s="118" t="s">
        <v>1009</v>
      </c>
      <c r="CD13" s="115" t="s">
        <v>1010</v>
      </c>
      <c r="CE13" s="108" t="s">
        <v>10</v>
      </c>
    </row>
    <row r="14" spans="1:83" ht="16.5" x14ac:dyDescent="0.3">
      <c r="A14" s="38">
        <v>12</v>
      </c>
      <c r="B14" s="112" t="s">
        <v>1011</v>
      </c>
      <c r="C14" s="113" t="s">
        <v>1012</v>
      </c>
      <c r="D14" s="114" t="s">
        <v>1013</v>
      </c>
      <c r="E14" s="112" t="s">
        <v>1014</v>
      </c>
      <c r="F14" s="113" t="s">
        <v>1015</v>
      </c>
      <c r="G14" s="114" t="s">
        <v>1016</v>
      </c>
      <c r="H14" s="112" t="s">
        <v>1017</v>
      </c>
      <c r="I14" s="113" t="s">
        <v>1018</v>
      </c>
      <c r="J14" s="114" t="s">
        <v>1019</v>
      </c>
      <c r="K14" s="112" t="s">
        <v>1020</v>
      </c>
      <c r="L14" s="113" t="s">
        <v>1021</v>
      </c>
      <c r="M14" s="114" t="s">
        <v>1022</v>
      </c>
      <c r="N14" s="112" t="s">
        <v>1023</v>
      </c>
      <c r="O14" s="113" t="s">
        <v>1024</v>
      </c>
      <c r="P14" s="114" t="s">
        <v>1025</v>
      </c>
      <c r="Q14" s="112" t="s">
        <v>1026</v>
      </c>
      <c r="R14" s="113" t="s">
        <v>1027</v>
      </c>
      <c r="S14" s="114" t="s">
        <v>1028</v>
      </c>
      <c r="T14" s="112" t="s">
        <v>1029</v>
      </c>
      <c r="U14" s="113" t="s">
        <v>1030</v>
      </c>
      <c r="V14" s="115" t="s">
        <v>1031</v>
      </c>
      <c r="W14" s="112" t="s">
        <v>1032</v>
      </c>
      <c r="X14" s="113" t="s">
        <v>1033</v>
      </c>
      <c r="Y14" s="114" t="s">
        <v>1034</v>
      </c>
      <c r="Z14" s="112" t="s">
        <v>1035</v>
      </c>
      <c r="AA14" s="113" t="s">
        <v>1036</v>
      </c>
      <c r="AB14" s="114" t="s">
        <v>1037</v>
      </c>
      <c r="AC14" s="112" t="s">
        <v>1038</v>
      </c>
      <c r="AD14" s="113" t="s">
        <v>1039</v>
      </c>
      <c r="AE14" s="114" t="s">
        <v>1040</v>
      </c>
      <c r="AF14" s="112" t="s">
        <v>1041</v>
      </c>
      <c r="AG14" s="113" t="s">
        <v>1042</v>
      </c>
      <c r="AH14" s="114" t="s">
        <v>1043</v>
      </c>
      <c r="AI14" s="112" t="s">
        <v>1044</v>
      </c>
      <c r="AJ14" s="113" t="s">
        <v>1045</v>
      </c>
      <c r="AK14" s="114" t="s">
        <v>1046</v>
      </c>
      <c r="AL14" s="116" t="s">
        <v>1047</v>
      </c>
      <c r="AM14" s="113" t="s">
        <v>1048</v>
      </c>
      <c r="AN14" s="114" t="s">
        <v>1049</v>
      </c>
      <c r="AO14" s="112" t="s">
        <v>1050</v>
      </c>
      <c r="AP14" s="113" t="s">
        <v>1051</v>
      </c>
      <c r="AQ14" s="114" t="s">
        <v>1052</v>
      </c>
      <c r="AR14" s="112" t="s">
        <v>1053</v>
      </c>
      <c r="AS14" s="113" t="s">
        <v>1054</v>
      </c>
      <c r="AT14" s="114" t="s">
        <v>1055</v>
      </c>
      <c r="AU14" s="112" t="s">
        <v>1056</v>
      </c>
      <c r="AV14" s="113" t="s">
        <v>1057</v>
      </c>
      <c r="AW14" s="114" t="s">
        <v>1058</v>
      </c>
      <c r="AX14" s="116" t="s">
        <v>1059</v>
      </c>
      <c r="AY14" s="113" t="s">
        <v>1060</v>
      </c>
      <c r="AZ14" s="114" t="s">
        <v>1061</v>
      </c>
      <c r="BA14" s="112" t="s">
        <v>1062</v>
      </c>
      <c r="BB14" s="113" t="s">
        <v>1063</v>
      </c>
      <c r="BC14" s="114" t="s">
        <v>1064</v>
      </c>
      <c r="BD14" s="117" t="s">
        <v>1065</v>
      </c>
      <c r="BE14" s="118" t="s">
        <v>1066</v>
      </c>
      <c r="BF14" s="115" t="s">
        <v>1067</v>
      </c>
      <c r="BG14" s="117" t="s">
        <v>1068</v>
      </c>
      <c r="BH14" s="118" t="s">
        <v>1069</v>
      </c>
      <c r="BI14" s="115" t="s">
        <v>1070</v>
      </c>
      <c r="BJ14" s="117" t="s">
        <v>1071</v>
      </c>
      <c r="BK14" s="118" t="s">
        <v>1072</v>
      </c>
      <c r="BL14" s="115" t="s">
        <v>1073</v>
      </c>
      <c r="BM14" s="117" t="s">
        <v>1074</v>
      </c>
      <c r="BN14" s="118" t="s">
        <v>1075</v>
      </c>
      <c r="BO14" s="115" t="s">
        <v>1076</v>
      </c>
      <c r="BP14" s="117" t="s">
        <v>1077</v>
      </c>
      <c r="BQ14" s="118" t="s">
        <v>1078</v>
      </c>
      <c r="BR14" s="115" t="s">
        <v>1079</v>
      </c>
      <c r="BS14" s="112" t="s">
        <v>1080</v>
      </c>
      <c r="BT14" s="113" t="s">
        <v>1081</v>
      </c>
      <c r="BU14" s="114" t="s">
        <v>1082</v>
      </c>
      <c r="BV14" s="117" t="s">
        <v>1083</v>
      </c>
      <c r="BW14" s="118" t="s">
        <v>1084</v>
      </c>
      <c r="BX14" s="115" t="s">
        <v>1085</v>
      </c>
      <c r="BY14" s="117" t="s">
        <v>1086</v>
      </c>
      <c r="BZ14" s="118" t="s">
        <v>1087</v>
      </c>
      <c r="CA14" s="115" t="s">
        <v>1088</v>
      </c>
      <c r="CB14" s="117" t="s">
        <v>1089</v>
      </c>
      <c r="CC14" s="118" t="s">
        <v>1090</v>
      </c>
      <c r="CD14" s="115" t="s">
        <v>1091</v>
      </c>
      <c r="CE14" s="108" t="s">
        <v>10</v>
      </c>
    </row>
    <row r="15" spans="1:83" ht="16.5" x14ac:dyDescent="0.3">
      <c r="A15" s="38">
        <v>13</v>
      </c>
      <c r="B15" s="112" t="s">
        <v>1092</v>
      </c>
      <c r="C15" s="113" t="s">
        <v>1093</v>
      </c>
      <c r="D15" s="114" t="s">
        <v>1094</v>
      </c>
      <c r="E15" s="112" t="s">
        <v>1095</v>
      </c>
      <c r="F15" s="113" t="s">
        <v>1096</v>
      </c>
      <c r="G15" s="114" t="s">
        <v>1097</v>
      </c>
      <c r="H15" s="112" t="s">
        <v>1098</v>
      </c>
      <c r="I15" s="113" t="s">
        <v>1099</v>
      </c>
      <c r="J15" s="114" t="s">
        <v>1100</v>
      </c>
      <c r="K15" s="112" t="s">
        <v>1101</v>
      </c>
      <c r="L15" s="113" t="s">
        <v>1102</v>
      </c>
      <c r="M15" s="114" t="s">
        <v>1103</v>
      </c>
      <c r="N15" s="112" t="s">
        <v>1104</v>
      </c>
      <c r="O15" s="113" t="s">
        <v>1105</v>
      </c>
      <c r="P15" s="114" t="s">
        <v>1106</v>
      </c>
      <c r="Q15" s="112" t="s">
        <v>1107</v>
      </c>
      <c r="R15" s="113" t="s">
        <v>1108</v>
      </c>
      <c r="S15" s="114" t="s">
        <v>1109</v>
      </c>
      <c r="T15" s="112" t="s">
        <v>1110</v>
      </c>
      <c r="U15" s="113" t="s">
        <v>1111</v>
      </c>
      <c r="V15" s="115" t="s">
        <v>1112</v>
      </c>
      <c r="W15" s="112" t="s">
        <v>1113</v>
      </c>
      <c r="X15" s="113" t="s">
        <v>1114</v>
      </c>
      <c r="Y15" s="114" t="s">
        <v>1115</v>
      </c>
      <c r="Z15" s="112" t="s">
        <v>1116</v>
      </c>
      <c r="AA15" s="113" t="s">
        <v>1117</v>
      </c>
      <c r="AB15" s="114" t="s">
        <v>1118</v>
      </c>
      <c r="AC15" s="112" t="s">
        <v>1119</v>
      </c>
      <c r="AD15" s="113" t="s">
        <v>1120</v>
      </c>
      <c r="AE15" s="114" t="s">
        <v>1121</v>
      </c>
      <c r="AF15" s="112" t="s">
        <v>1122</v>
      </c>
      <c r="AG15" s="113" t="s">
        <v>1123</v>
      </c>
      <c r="AH15" s="114" t="s">
        <v>1124</v>
      </c>
      <c r="AI15" s="112" t="s">
        <v>1125</v>
      </c>
      <c r="AJ15" s="113" t="s">
        <v>1126</v>
      </c>
      <c r="AK15" s="114" t="s">
        <v>1127</v>
      </c>
      <c r="AL15" s="116" t="s">
        <v>1128</v>
      </c>
      <c r="AM15" s="113" t="s">
        <v>1129</v>
      </c>
      <c r="AN15" s="114" t="s">
        <v>1130</v>
      </c>
      <c r="AO15" s="112" t="s">
        <v>1131</v>
      </c>
      <c r="AP15" s="113" t="s">
        <v>1132</v>
      </c>
      <c r="AQ15" s="114" t="s">
        <v>1133</v>
      </c>
      <c r="AR15" s="112" t="s">
        <v>1134</v>
      </c>
      <c r="AS15" s="113" t="s">
        <v>1135</v>
      </c>
      <c r="AT15" s="114" t="s">
        <v>1136</v>
      </c>
      <c r="AU15" s="112" t="s">
        <v>1137</v>
      </c>
      <c r="AV15" s="113" t="s">
        <v>1138</v>
      </c>
      <c r="AW15" s="114" t="s">
        <v>1139</v>
      </c>
      <c r="AX15" s="116" t="s">
        <v>1140</v>
      </c>
      <c r="AY15" s="113" t="s">
        <v>1141</v>
      </c>
      <c r="AZ15" s="114" t="s">
        <v>1142</v>
      </c>
      <c r="BA15" s="112" t="s">
        <v>1143</v>
      </c>
      <c r="BB15" s="113" t="s">
        <v>1144</v>
      </c>
      <c r="BC15" s="114" t="s">
        <v>1145</v>
      </c>
      <c r="BD15" s="117" t="s">
        <v>1146</v>
      </c>
      <c r="BE15" s="118" t="s">
        <v>1147</v>
      </c>
      <c r="BF15" s="115" t="s">
        <v>1148</v>
      </c>
      <c r="BG15" s="117" t="s">
        <v>1149</v>
      </c>
      <c r="BH15" s="118" t="s">
        <v>1150</v>
      </c>
      <c r="BI15" s="115" t="s">
        <v>1151</v>
      </c>
      <c r="BJ15" s="117" t="s">
        <v>1152</v>
      </c>
      <c r="BK15" s="118" t="s">
        <v>1153</v>
      </c>
      <c r="BL15" s="115" t="s">
        <v>1154</v>
      </c>
      <c r="BM15" s="117" t="s">
        <v>1155</v>
      </c>
      <c r="BN15" s="118" t="s">
        <v>1156</v>
      </c>
      <c r="BO15" s="115" t="s">
        <v>1157</v>
      </c>
      <c r="BP15" s="117" t="s">
        <v>1158</v>
      </c>
      <c r="BQ15" s="118" t="s">
        <v>1159</v>
      </c>
      <c r="BR15" s="115" t="s">
        <v>1160</v>
      </c>
      <c r="BS15" s="112" t="s">
        <v>1161</v>
      </c>
      <c r="BT15" s="113" t="s">
        <v>1162</v>
      </c>
      <c r="BU15" s="114" t="s">
        <v>1163</v>
      </c>
      <c r="BV15" s="117" t="s">
        <v>1164</v>
      </c>
      <c r="BW15" s="118" t="s">
        <v>1165</v>
      </c>
      <c r="BX15" s="115" t="s">
        <v>1166</v>
      </c>
      <c r="BY15" s="117" t="s">
        <v>1167</v>
      </c>
      <c r="BZ15" s="113" t="s">
        <v>1168</v>
      </c>
      <c r="CA15" s="115" t="s">
        <v>1169</v>
      </c>
      <c r="CB15" s="117" t="s">
        <v>1170</v>
      </c>
      <c r="CC15" s="118" t="s">
        <v>1171</v>
      </c>
      <c r="CD15" s="115" t="s">
        <v>1172</v>
      </c>
      <c r="CE15" s="108" t="s">
        <v>10</v>
      </c>
    </row>
    <row r="16" spans="1:83" ht="16.5" x14ac:dyDescent="0.3">
      <c r="A16" s="38">
        <v>14</v>
      </c>
      <c r="B16" s="112" t="s">
        <v>1173</v>
      </c>
      <c r="C16" s="113" t="s">
        <v>1174</v>
      </c>
      <c r="D16" s="114" t="s">
        <v>1175</v>
      </c>
      <c r="E16" s="112" t="s">
        <v>1176</v>
      </c>
      <c r="F16" s="113" t="s">
        <v>1177</v>
      </c>
      <c r="G16" s="114" t="s">
        <v>1178</v>
      </c>
      <c r="H16" s="112" t="s">
        <v>1179</v>
      </c>
      <c r="I16" s="113" t="s">
        <v>1180</v>
      </c>
      <c r="J16" s="114" t="s">
        <v>1181</v>
      </c>
      <c r="K16" s="112" t="s">
        <v>1182</v>
      </c>
      <c r="L16" s="113" t="s">
        <v>1183</v>
      </c>
      <c r="M16" s="114" t="s">
        <v>1184</v>
      </c>
      <c r="N16" s="112" t="s">
        <v>1185</v>
      </c>
      <c r="O16" s="113" t="s">
        <v>1186</v>
      </c>
      <c r="P16" s="114" t="s">
        <v>1187</v>
      </c>
      <c r="Q16" s="112" t="s">
        <v>1188</v>
      </c>
      <c r="R16" s="113" t="s">
        <v>1189</v>
      </c>
      <c r="S16" s="114" t="s">
        <v>1190</v>
      </c>
      <c r="T16" s="112" t="s">
        <v>1191</v>
      </c>
      <c r="U16" s="113" t="s">
        <v>1192</v>
      </c>
      <c r="V16" s="115" t="s">
        <v>1193</v>
      </c>
      <c r="W16" s="112" t="s">
        <v>1194</v>
      </c>
      <c r="X16" s="113" t="s">
        <v>1195</v>
      </c>
      <c r="Y16" s="114" t="s">
        <v>1196</v>
      </c>
      <c r="Z16" s="112" t="s">
        <v>1197</v>
      </c>
      <c r="AA16" s="113" t="s">
        <v>1198</v>
      </c>
      <c r="AB16" s="114" t="s">
        <v>1199</v>
      </c>
      <c r="AC16" s="112" t="s">
        <v>1200</v>
      </c>
      <c r="AD16" s="113" t="s">
        <v>1201</v>
      </c>
      <c r="AE16" s="114" t="s">
        <v>1202</v>
      </c>
      <c r="AF16" s="112" t="s">
        <v>1203</v>
      </c>
      <c r="AG16" s="113" t="s">
        <v>1204</v>
      </c>
      <c r="AH16" s="114" t="s">
        <v>1205</v>
      </c>
      <c r="AI16" s="112" t="s">
        <v>1206</v>
      </c>
      <c r="AJ16" s="113" t="s">
        <v>1207</v>
      </c>
      <c r="AK16" s="114" t="s">
        <v>1208</v>
      </c>
      <c r="AL16" s="116" t="s">
        <v>1209</v>
      </c>
      <c r="AM16" s="113" t="s">
        <v>1210</v>
      </c>
      <c r="AN16" s="114" t="s">
        <v>1211</v>
      </c>
      <c r="AO16" s="112" t="s">
        <v>1212</v>
      </c>
      <c r="AP16" s="113" t="s">
        <v>1213</v>
      </c>
      <c r="AQ16" s="114" t="s">
        <v>1214</v>
      </c>
      <c r="AR16" s="112" t="s">
        <v>1215</v>
      </c>
      <c r="AS16" s="113" t="s">
        <v>1216</v>
      </c>
      <c r="AT16" s="114" t="s">
        <v>1217</v>
      </c>
      <c r="AU16" s="112" t="s">
        <v>1218</v>
      </c>
      <c r="AV16" s="113" t="s">
        <v>1219</v>
      </c>
      <c r="AW16" s="114" t="s">
        <v>1220</v>
      </c>
      <c r="AX16" s="116" t="s">
        <v>1221</v>
      </c>
      <c r="AY16" s="113" t="s">
        <v>1222</v>
      </c>
      <c r="AZ16" s="114" t="s">
        <v>1223</v>
      </c>
      <c r="BA16" s="112" t="s">
        <v>1224</v>
      </c>
      <c r="BB16" s="113" t="s">
        <v>1225</v>
      </c>
      <c r="BC16" s="114" t="s">
        <v>1226</v>
      </c>
      <c r="BD16" s="117" t="s">
        <v>1227</v>
      </c>
      <c r="BE16" s="118" t="s">
        <v>1228</v>
      </c>
      <c r="BF16" s="115" t="s">
        <v>1229</v>
      </c>
      <c r="BG16" s="117" t="s">
        <v>1230</v>
      </c>
      <c r="BH16" s="118" t="s">
        <v>1231</v>
      </c>
      <c r="BI16" s="115" t="s">
        <v>1232</v>
      </c>
      <c r="BJ16" s="117" t="s">
        <v>1233</v>
      </c>
      <c r="BK16" s="118" t="s">
        <v>1234</v>
      </c>
      <c r="BL16" s="115" t="s">
        <v>1235</v>
      </c>
      <c r="BM16" s="117" t="s">
        <v>1236</v>
      </c>
      <c r="BN16" s="118" t="s">
        <v>1237</v>
      </c>
      <c r="BO16" s="115" t="s">
        <v>1238</v>
      </c>
      <c r="BP16" s="117" t="s">
        <v>1239</v>
      </c>
      <c r="BQ16" s="118" t="s">
        <v>1240</v>
      </c>
      <c r="BR16" s="115" t="s">
        <v>1241</v>
      </c>
      <c r="BS16" s="112" t="s">
        <v>1242</v>
      </c>
      <c r="BT16" s="113" t="s">
        <v>1243</v>
      </c>
      <c r="BU16" s="114" t="s">
        <v>1244</v>
      </c>
      <c r="BV16" s="117" t="s">
        <v>1245</v>
      </c>
      <c r="BW16" s="118" t="s">
        <v>1246</v>
      </c>
      <c r="BX16" s="115" t="s">
        <v>1247</v>
      </c>
      <c r="BY16" s="117" t="s">
        <v>1248</v>
      </c>
      <c r="BZ16" s="118" t="s">
        <v>1249</v>
      </c>
      <c r="CA16" s="115" t="s">
        <v>1250</v>
      </c>
      <c r="CB16" s="117" t="s">
        <v>1251</v>
      </c>
      <c r="CC16" s="118" t="s">
        <v>1252</v>
      </c>
      <c r="CD16" s="115" t="s">
        <v>1253</v>
      </c>
      <c r="CE16" s="108" t="s">
        <v>10</v>
      </c>
    </row>
    <row r="17" spans="1:83" ht="16.5" x14ac:dyDescent="0.3">
      <c r="A17" s="38">
        <v>15</v>
      </c>
      <c r="B17" s="112" t="s">
        <v>1254</v>
      </c>
      <c r="C17" s="113" t="s">
        <v>1255</v>
      </c>
      <c r="D17" s="114" t="s">
        <v>1256</v>
      </c>
      <c r="E17" s="112" t="s">
        <v>1257</v>
      </c>
      <c r="F17" s="113" t="s">
        <v>1258</v>
      </c>
      <c r="G17" s="114" t="s">
        <v>1259</v>
      </c>
      <c r="H17" s="112" t="s">
        <v>1260</v>
      </c>
      <c r="I17" s="113" t="s">
        <v>1261</v>
      </c>
      <c r="J17" s="114" t="s">
        <v>1262</v>
      </c>
      <c r="K17" s="112" t="s">
        <v>1263</v>
      </c>
      <c r="L17" s="113" t="s">
        <v>1264</v>
      </c>
      <c r="M17" s="114" t="s">
        <v>1265</v>
      </c>
      <c r="N17" s="112" t="s">
        <v>1266</v>
      </c>
      <c r="O17" s="113" t="s">
        <v>1267</v>
      </c>
      <c r="P17" s="114" t="s">
        <v>1268</v>
      </c>
      <c r="Q17" s="112" t="s">
        <v>1269</v>
      </c>
      <c r="R17" s="113" t="s">
        <v>1270</v>
      </c>
      <c r="S17" s="114" t="s">
        <v>1271</v>
      </c>
      <c r="T17" s="112" t="s">
        <v>1272</v>
      </c>
      <c r="U17" s="113" t="s">
        <v>1273</v>
      </c>
      <c r="V17" s="115" t="s">
        <v>1274</v>
      </c>
      <c r="W17" s="112" t="s">
        <v>1275</v>
      </c>
      <c r="X17" s="113" t="s">
        <v>1276</v>
      </c>
      <c r="Y17" s="114" t="s">
        <v>1277</v>
      </c>
      <c r="Z17" s="112" t="s">
        <v>1278</v>
      </c>
      <c r="AA17" s="113" t="s">
        <v>1279</v>
      </c>
      <c r="AB17" s="114" t="s">
        <v>1280</v>
      </c>
      <c r="AC17" s="112" t="s">
        <v>1281</v>
      </c>
      <c r="AD17" s="113" t="s">
        <v>1282</v>
      </c>
      <c r="AE17" s="114" t="s">
        <v>1283</v>
      </c>
      <c r="AF17" s="112" t="s">
        <v>1284</v>
      </c>
      <c r="AG17" s="113" t="s">
        <v>1285</v>
      </c>
      <c r="AH17" s="114" t="s">
        <v>1286</v>
      </c>
      <c r="AI17" s="112" t="s">
        <v>1287</v>
      </c>
      <c r="AJ17" s="113" t="s">
        <v>1288</v>
      </c>
      <c r="AK17" s="114" t="s">
        <v>1289</v>
      </c>
      <c r="AL17" s="116" t="s">
        <v>1290</v>
      </c>
      <c r="AM17" s="113" t="s">
        <v>1291</v>
      </c>
      <c r="AN17" s="114" t="s">
        <v>1292</v>
      </c>
      <c r="AO17" s="112" t="s">
        <v>1293</v>
      </c>
      <c r="AP17" s="113" t="s">
        <v>1294</v>
      </c>
      <c r="AQ17" s="114" t="s">
        <v>1295</v>
      </c>
      <c r="AR17" s="112" t="s">
        <v>1296</v>
      </c>
      <c r="AS17" s="113" t="s">
        <v>1297</v>
      </c>
      <c r="AT17" s="114" t="s">
        <v>1298</v>
      </c>
      <c r="AU17" s="112" t="s">
        <v>1299</v>
      </c>
      <c r="AV17" s="113" t="s">
        <v>1300</v>
      </c>
      <c r="AW17" s="114" t="s">
        <v>1301</v>
      </c>
      <c r="AX17" s="116" t="s">
        <v>1302</v>
      </c>
      <c r="AY17" s="113" t="s">
        <v>1303</v>
      </c>
      <c r="AZ17" s="114" t="s">
        <v>1304</v>
      </c>
      <c r="BA17" s="112" t="s">
        <v>1305</v>
      </c>
      <c r="BB17" s="113" t="s">
        <v>1306</v>
      </c>
      <c r="BC17" s="114" t="s">
        <v>1307</v>
      </c>
      <c r="BD17" s="117" t="s">
        <v>1308</v>
      </c>
      <c r="BE17" s="118" t="s">
        <v>1309</v>
      </c>
      <c r="BF17" s="115" t="s">
        <v>1310</v>
      </c>
      <c r="BG17" s="117" t="s">
        <v>1311</v>
      </c>
      <c r="BH17" s="118" t="s">
        <v>1312</v>
      </c>
      <c r="BI17" s="115" t="s">
        <v>1313</v>
      </c>
      <c r="BJ17" s="117" t="s">
        <v>1314</v>
      </c>
      <c r="BK17" s="118" t="s">
        <v>1315</v>
      </c>
      <c r="BL17" s="115" t="s">
        <v>1316</v>
      </c>
      <c r="BM17" s="117" t="s">
        <v>1317</v>
      </c>
      <c r="BN17" s="118" t="s">
        <v>1318</v>
      </c>
      <c r="BO17" s="115" t="s">
        <v>1319</v>
      </c>
      <c r="BP17" s="117" t="s">
        <v>1320</v>
      </c>
      <c r="BQ17" s="118" t="s">
        <v>1321</v>
      </c>
      <c r="BR17" s="115" t="s">
        <v>1322</v>
      </c>
      <c r="BS17" s="112" t="s">
        <v>1323</v>
      </c>
      <c r="BT17" s="113" t="s">
        <v>1324</v>
      </c>
      <c r="BU17" s="114" t="s">
        <v>1325</v>
      </c>
      <c r="BV17" s="117" t="s">
        <v>1326</v>
      </c>
      <c r="BW17" s="118" t="s">
        <v>1327</v>
      </c>
      <c r="BX17" s="115" t="s">
        <v>1328</v>
      </c>
      <c r="BY17" s="117" t="s">
        <v>1329</v>
      </c>
      <c r="BZ17" s="113" t="s">
        <v>1330</v>
      </c>
      <c r="CA17" s="115" t="s">
        <v>1331</v>
      </c>
      <c r="CB17" s="117" t="s">
        <v>1332</v>
      </c>
      <c r="CC17" s="118" t="s">
        <v>1333</v>
      </c>
      <c r="CD17" s="115" t="s">
        <v>1334</v>
      </c>
      <c r="CE17" s="108" t="s">
        <v>10</v>
      </c>
    </row>
    <row r="18" spans="1:83" ht="16.5" x14ac:dyDescent="0.3">
      <c r="A18" s="38">
        <v>16</v>
      </c>
      <c r="B18" s="112" t="s">
        <v>1335</v>
      </c>
      <c r="C18" s="113" t="s">
        <v>1336</v>
      </c>
      <c r="D18" s="114" t="s">
        <v>1337</v>
      </c>
      <c r="E18" s="112" t="s">
        <v>1338</v>
      </c>
      <c r="F18" s="113" t="s">
        <v>1339</v>
      </c>
      <c r="G18" s="114" t="s">
        <v>1340</v>
      </c>
      <c r="H18" s="112" t="s">
        <v>1341</v>
      </c>
      <c r="I18" s="113" t="s">
        <v>1342</v>
      </c>
      <c r="J18" s="114" t="s">
        <v>1343</v>
      </c>
      <c r="K18" s="112" t="s">
        <v>1344</v>
      </c>
      <c r="L18" s="113" t="s">
        <v>1345</v>
      </c>
      <c r="M18" s="114" t="s">
        <v>1346</v>
      </c>
      <c r="N18" s="112" t="s">
        <v>1347</v>
      </c>
      <c r="O18" s="113" t="s">
        <v>1348</v>
      </c>
      <c r="P18" s="114" t="s">
        <v>1349</v>
      </c>
      <c r="Q18" s="112" t="s">
        <v>1350</v>
      </c>
      <c r="R18" s="113" t="s">
        <v>1351</v>
      </c>
      <c r="S18" s="114" t="s">
        <v>1352</v>
      </c>
      <c r="T18" s="112" t="s">
        <v>1353</v>
      </c>
      <c r="U18" s="113" t="s">
        <v>1354</v>
      </c>
      <c r="V18" s="115" t="s">
        <v>1355</v>
      </c>
      <c r="W18" s="112" t="s">
        <v>1356</v>
      </c>
      <c r="X18" s="113" t="s">
        <v>1357</v>
      </c>
      <c r="Y18" s="114" t="s">
        <v>1358</v>
      </c>
      <c r="Z18" s="112" t="s">
        <v>1359</v>
      </c>
      <c r="AA18" s="113" t="s">
        <v>1360</v>
      </c>
      <c r="AB18" s="114" t="s">
        <v>1361</v>
      </c>
      <c r="AC18" s="112" t="s">
        <v>1362</v>
      </c>
      <c r="AD18" s="113" t="s">
        <v>1363</v>
      </c>
      <c r="AE18" s="114" t="s">
        <v>1364</v>
      </c>
      <c r="AF18" s="112" t="s">
        <v>1365</v>
      </c>
      <c r="AG18" s="113" t="s">
        <v>1366</v>
      </c>
      <c r="AH18" s="114" t="s">
        <v>1367</v>
      </c>
      <c r="AI18" s="112" t="s">
        <v>1368</v>
      </c>
      <c r="AJ18" s="113" t="s">
        <v>1369</v>
      </c>
      <c r="AK18" s="114" t="s">
        <v>1370</v>
      </c>
      <c r="AL18" s="116" t="s">
        <v>1371</v>
      </c>
      <c r="AM18" s="113" t="s">
        <v>1372</v>
      </c>
      <c r="AN18" s="114" t="s">
        <v>1373</v>
      </c>
      <c r="AO18" s="112" t="s">
        <v>1374</v>
      </c>
      <c r="AP18" s="113" t="s">
        <v>1375</v>
      </c>
      <c r="AQ18" s="114" t="s">
        <v>1376</v>
      </c>
      <c r="AR18" s="112" t="s">
        <v>1377</v>
      </c>
      <c r="AS18" s="113" t="s">
        <v>1378</v>
      </c>
      <c r="AT18" s="114" t="s">
        <v>1379</v>
      </c>
      <c r="AU18" s="112" t="s">
        <v>1380</v>
      </c>
      <c r="AV18" s="113" t="s">
        <v>1381</v>
      </c>
      <c r="AW18" s="114" t="s">
        <v>1382</v>
      </c>
      <c r="AX18" s="116" t="s">
        <v>1383</v>
      </c>
      <c r="AY18" s="113" t="s">
        <v>1384</v>
      </c>
      <c r="AZ18" s="114" t="s">
        <v>1385</v>
      </c>
      <c r="BA18" s="112" t="s">
        <v>1386</v>
      </c>
      <c r="BB18" s="113" t="s">
        <v>1387</v>
      </c>
      <c r="BC18" s="114" t="s">
        <v>1388</v>
      </c>
      <c r="BD18" s="117" t="s">
        <v>1389</v>
      </c>
      <c r="BE18" s="118" t="s">
        <v>1390</v>
      </c>
      <c r="BF18" s="115" t="s">
        <v>1391</v>
      </c>
      <c r="BG18" s="117" t="s">
        <v>1392</v>
      </c>
      <c r="BH18" s="118" t="s">
        <v>1393</v>
      </c>
      <c r="BI18" s="115" t="s">
        <v>1394</v>
      </c>
      <c r="BJ18" s="117" t="s">
        <v>1395</v>
      </c>
      <c r="BK18" s="118" t="s">
        <v>1396</v>
      </c>
      <c r="BL18" s="115" t="s">
        <v>1397</v>
      </c>
      <c r="BM18" s="117" t="s">
        <v>1398</v>
      </c>
      <c r="BN18" s="118" t="s">
        <v>1399</v>
      </c>
      <c r="BO18" s="115" t="s">
        <v>1400</v>
      </c>
      <c r="BP18" s="117" t="s">
        <v>1401</v>
      </c>
      <c r="BQ18" s="118" t="s">
        <v>1402</v>
      </c>
      <c r="BR18" s="115" t="s">
        <v>1403</v>
      </c>
      <c r="BS18" s="112" t="s">
        <v>1404</v>
      </c>
      <c r="BT18" s="113" t="s">
        <v>1405</v>
      </c>
      <c r="BU18" s="114" t="s">
        <v>1406</v>
      </c>
      <c r="BV18" s="117" t="s">
        <v>1407</v>
      </c>
      <c r="BW18" s="118" t="s">
        <v>1408</v>
      </c>
      <c r="BX18" s="115" t="s">
        <v>1409</v>
      </c>
      <c r="BY18" s="117" t="s">
        <v>1410</v>
      </c>
      <c r="BZ18" s="118" t="s">
        <v>1411</v>
      </c>
      <c r="CA18" s="115" t="s">
        <v>1412</v>
      </c>
      <c r="CB18" s="117" t="s">
        <v>1413</v>
      </c>
      <c r="CC18" s="118" t="s">
        <v>1414</v>
      </c>
      <c r="CD18" s="115" t="s">
        <v>1415</v>
      </c>
      <c r="CE18" s="108" t="s">
        <v>10</v>
      </c>
    </row>
    <row r="19" spans="1:83" ht="16.5" x14ac:dyDescent="0.3">
      <c r="A19" s="38">
        <v>17</v>
      </c>
      <c r="B19" s="112" t="s">
        <v>1416</v>
      </c>
      <c r="C19" s="113" t="s">
        <v>1417</v>
      </c>
      <c r="D19" s="114" t="s">
        <v>1418</v>
      </c>
      <c r="E19" s="112" t="s">
        <v>1419</v>
      </c>
      <c r="F19" s="113" t="s">
        <v>1420</v>
      </c>
      <c r="G19" s="114" t="s">
        <v>1421</v>
      </c>
      <c r="H19" s="112" t="s">
        <v>1422</v>
      </c>
      <c r="I19" s="113" t="s">
        <v>1423</v>
      </c>
      <c r="J19" s="114" t="s">
        <v>1424</v>
      </c>
      <c r="K19" s="112" t="s">
        <v>1425</v>
      </c>
      <c r="L19" s="113" t="s">
        <v>1426</v>
      </c>
      <c r="M19" s="114" t="s">
        <v>1427</v>
      </c>
      <c r="N19" s="112" t="s">
        <v>1428</v>
      </c>
      <c r="O19" s="113" t="s">
        <v>1429</v>
      </c>
      <c r="P19" s="114" t="s">
        <v>1430</v>
      </c>
      <c r="Q19" s="112" t="s">
        <v>1431</v>
      </c>
      <c r="R19" s="113" t="s">
        <v>1432</v>
      </c>
      <c r="S19" s="114" t="s">
        <v>1433</v>
      </c>
      <c r="T19" s="112" t="s">
        <v>1434</v>
      </c>
      <c r="U19" s="113" t="s">
        <v>1435</v>
      </c>
      <c r="V19" s="115" t="s">
        <v>1436</v>
      </c>
      <c r="W19" s="112" t="s">
        <v>1437</v>
      </c>
      <c r="X19" s="113" t="s">
        <v>1438</v>
      </c>
      <c r="Y19" s="114" t="s">
        <v>1439</v>
      </c>
      <c r="Z19" s="112" t="s">
        <v>1440</v>
      </c>
      <c r="AA19" s="113" t="s">
        <v>1441</v>
      </c>
      <c r="AB19" s="114" t="s">
        <v>1442</v>
      </c>
      <c r="AC19" s="112" t="s">
        <v>1443</v>
      </c>
      <c r="AD19" s="113" t="s">
        <v>1444</v>
      </c>
      <c r="AE19" s="114" t="s">
        <v>1445</v>
      </c>
      <c r="AF19" s="112" t="s">
        <v>1446</v>
      </c>
      <c r="AG19" s="113" t="s">
        <v>1447</v>
      </c>
      <c r="AH19" s="114" t="s">
        <v>1448</v>
      </c>
      <c r="AI19" s="112" t="s">
        <v>1449</v>
      </c>
      <c r="AJ19" s="113" t="s">
        <v>1450</v>
      </c>
      <c r="AK19" s="114" t="s">
        <v>1451</v>
      </c>
      <c r="AL19" s="116" t="s">
        <v>1452</v>
      </c>
      <c r="AM19" s="113" t="s">
        <v>1453</v>
      </c>
      <c r="AN19" s="114" t="s">
        <v>1454</v>
      </c>
      <c r="AO19" s="112" t="s">
        <v>1455</v>
      </c>
      <c r="AP19" s="113" t="s">
        <v>1456</v>
      </c>
      <c r="AQ19" s="114" t="s">
        <v>1457</v>
      </c>
      <c r="AR19" s="112" t="s">
        <v>1458</v>
      </c>
      <c r="AS19" s="113" t="s">
        <v>1459</v>
      </c>
      <c r="AT19" s="114" t="s">
        <v>1460</v>
      </c>
      <c r="AU19" s="112" t="s">
        <v>1461</v>
      </c>
      <c r="AV19" s="113" t="s">
        <v>1462</v>
      </c>
      <c r="AW19" s="114" t="s">
        <v>1463</v>
      </c>
      <c r="AX19" s="116" t="s">
        <v>1464</v>
      </c>
      <c r="AY19" s="113" t="s">
        <v>1465</v>
      </c>
      <c r="AZ19" s="114" t="s">
        <v>1466</v>
      </c>
      <c r="BA19" s="112" t="s">
        <v>1467</v>
      </c>
      <c r="BB19" s="113" t="s">
        <v>1468</v>
      </c>
      <c r="BC19" s="114" t="s">
        <v>1469</v>
      </c>
      <c r="BD19" s="117" t="s">
        <v>1470</v>
      </c>
      <c r="BE19" s="118" t="s">
        <v>1471</v>
      </c>
      <c r="BF19" s="115" t="s">
        <v>1472</v>
      </c>
      <c r="BG19" s="117" t="s">
        <v>1473</v>
      </c>
      <c r="BH19" s="118" t="s">
        <v>1474</v>
      </c>
      <c r="BI19" s="115" t="s">
        <v>1475</v>
      </c>
      <c r="BJ19" s="117" t="s">
        <v>1476</v>
      </c>
      <c r="BK19" s="118" t="s">
        <v>1477</v>
      </c>
      <c r="BL19" s="115" t="s">
        <v>1478</v>
      </c>
      <c r="BM19" s="117" t="s">
        <v>1479</v>
      </c>
      <c r="BN19" s="118" t="s">
        <v>1480</v>
      </c>
      <c r="BO19" s="115" t="s">
        <v>1481</v>
      </c>
      <c r="BP19" s="117" t="s">
        <v>1482</v>
      </c>
      <c r="BQ19" s="118" t="s">
        <v>1483</v>
      </c>
      <c r="BR19" s="115" t="s">
        <v>1484</v>
      </c>
      <c r="BS19" s="112" t="s">
        <v>1485</v>
      </c>
      <c r="BT19" s="113" t="s">
        <v>1486</v>
      </c>
      <c r="BU19" s="114" t="s">
        <v>1487</v>
      </c>
      <c r="BV19" s="117" t="s">
        <v>1488</v>
      </c>
      <c r="BW19" s="118" t="s">
        <v>1489</v>
      </c>
      <c r="BX19" s="115" t="s">
        <v>1490</v>
      </c>
      <c r="BY19" s="117" t="s">
        <v>1491</v>
      </c>
      <c r="BZ19" s="113" t="s">
        <v>1492</v>
      </c>
      <c r="CA19" s="115" t="s">
        <v>1493</v>
      </c>
      <c r="CB19" s="117" t="s">
        <v>1494</v>
      </c>
      <c r="CC19" s="118" t="s">
        <v>1495</v>
      </c>
      <c r="CD19" s="115" t="s">
        <v>1496</v>
      </c>
      <c r="CE19" s="108" t="s">
        <v>10</v>
      </c>
    </row>
    <row r="20" spans="1:83" ht="16.5" x14ac:dyDescent="0.3">
      <c r="A20" s="38">
        <v>18</v>
      </c>
      <c r="B20" s="112" t="s">
        <v>1497</v>
      </c>
      <c r="C20" s="113" t="s">
        <v>1498</v>
      </c>
      <c r="D20" s="114" t="s">
        <v>1499</v>
      </c>
      <c r="E20" s="112" t="s">
        <v>1500</v>
      </c>
      <c r="F20" s="113" t="s">
        <v>1501</v>
      </c>
      <c r="G20" s="114" t="s">
        <v>1502</v>
      </c>
      <c r="H20" s="112" t="s">
        <v>1503</v>
      </c>
      <c r="I20" s="113" t="s">
        <v>1504</v>
      </c>
      <c r="J20" s="114" t="s">
        <v>1505</v>
      </c>
      <c r="K20" s="112" t="s">
        <v>1506</v>
      </c>
      <c r="L20" s="113" t="s">
        <v>1507</v>
      </c>
      <c r="M20" s="114" t="s">
        <v>1508</v>
      </c>
      <c r="N20" s="112" t="s">
        <v>1509</v>
      </c>
      <c r="O20" s="113" t="s">
        <v>1510</v>
      </c>
      <c r="P20" s="114" t="s">
        <v>1511</v>
      </c>
      <c r="Q20" s="112" t="s">
        <v>1512</v>
      </c>
      <c r="R20" s="113" t="s">
        <v>1513</v>
      </c>
      <c r="S20" s="114" t="s">
        <v>1514</v>
      </c>
      <c r="T20" s="112" t="s">
        <v>1515</v>
      </c>
      <c r="U20" s="113" t="s">
        <v>1516</v>
      </c>
      <c r="V20" s="115" t="s">
        <v>1517</v>
      </c>
      <c r="W20" s="112" t="s">
        <v>1518</v>
      </c>
      <c r="X20" s="113" t="s">
        <v>1519</v>
      </c>
      <c r="Y20" s="114" t="s">
        <v>1520</v>
      </c>
      <c r="Z20" s="112" t="s">
        <v>1521</v>
      </c>
      <c r="AA20" s="113" t="s">
        <v>1522</v>
      </c>
      <c r="AB20" s="114" t="s">
        <v>1523</v>
      </c>
      <c r="AC20" s="112" t="s">
        <v>1524</v>
      </c>
      <c r="AD20" s="113" t="s">
        <v>1525</v>
      </c>
      <c r="AE20" s="114" t="s">
        <v>1526</v>
      </c>
      <c r="AF20" s="112" t="s">
        <v>1527</v>
      </c>
      <c r="AG20" s="113" t="s">
        <v>1528</v>
      </c>
      <c r="AH20" s="114" t="s">
        <v>1529</v>
      </c>
      <c r="AI20" s="112" t="s">
        <v>1530</v>
      </c>
      <c r="AJ20" s="113" t="s">
        <v>1531</v>
      </c>
      <c r="AK20" s="114" t="s">
        <v>1532</v>
      </c>
      <c r="AL20" s="116" t="s">
        <v>1533</v>
      </c>
      <c r="AM20" s="113" t="s">
        <v>1534</v>
      </c>
      <c r="AN20" s="114" t="s">
        <v>1535</v>
      </c>
      <c r="AO20" s="112" t="s">
        <v>1536</v>
      </c>
      <c r="AP20" s="113" t="s">
        <v>1537</v>
      </c>
      <c r="AQ20" s="114" t="s">
        <v>1538</v>
      </c>
      <c r="AR20" s="112" t="s">
        <v>1539</v>
      </c>
      <c r="AS20" s="113" t="s">
        <v>1540</v>
      </c>
      <c r="AT20" s="114" t="s">
        <v>1541</v>
      </c>
      <c r="AU20" s="112" t="s">
        <v>1542</v>
      </c>
      <c r="AV20" s="113" t="s">
        <v>1543</v>
      </c>
      <c r="AW20" s="114" t="s">
        <v>1544</v>
      </c>
      <c r="AX20" s="116" t="s">
        <v>1545</v>
      </c>
      <c r="AY20" s="113" t="s">
        <v>1546</v>
      </c>
      <c r="AZ20" s="114" t="s">
        <v>1547</v>
      </c>
      <c r="BA20" s="112" t="s">
        <v>1548</v>
      </c>
      <c r="BB20" s="113" t="s">
        <v>1549</v>
      </c>
      <c r="BC20" s="114" t="s">
        <v>1550</v>
      </c>
      <c r="BD20" s="117" t="s">
        <v>1551</v>
      </c>
      <c r="BE20" s="118" t="s">
        <v>1552</v>
      </c>
      <c r="BF20" s="115" t="s">
        <v>1553</v>
      </c>
      <c r="BG20" s="117" t="s">
        <v>1554</v>
      </c>
      <c r="BH20" s="118" t="s">
        <v>1555</v>
      </c>
      <c r="BI20" s="115" t="s">
        <v>1556</v>
      </c>
      <c r="BJ20" s="117" t="s">
        <v>1557</v>
      </c>
      <c r="BK20" s="118" t="s">
        <v>1558</v>
      </c>
      <c r="BL20" s="115" t="s">
        <v>1559</v>
      </c>
      <c r="BM20" s="117" t="s">
        <v>1560</v>
      </c>
      <c r="BN20" s="118" t="s">
        <v>1561</v>
      </c>
      <c r="BO20" s="115" t="s">
        <v>1562</v>
      </c>
      <c r="BP20" s="117" t="s">
        <v>1563</v>
      </c>
      <c r="BQ20" s="118" t="s">
        <v>1564</v>
      </c>
      <c r="BR20" s="115" t="s">
        <v>1565</v>
      </c>
      <c r="BS20" s="112" t="s">
        <v>1566</v>
      </c>
      <c r="BT20" s="113" t="s">
        <v>1567</v>
      </c>
      <c r="BU20" s="114" t="s">
        <v>1568</v>
      </c>
      <c r="BV20" s="117" t="s">
        <v>1569</v>
      </c>
      <c r="BW20" s="118" t="s">
        <v>1570</v>
      </c>
      <c r="BX20" s="115" t="s">
        <v>1571</v>
      </c>
      <c r="BY20" s="117" t="s">
        <v>1572</v>
      </c>
      <c r="BZ20" s="118" t="s">
        <v>1573</v>
      </c>
      <c r="CA20" s="115" t="s">
        <v>1574</v>
      </c>
      <c r="CB20" s="117" t="s">
        <v>1575</v>
      </c>
      <c r="CC20" s="118" t="s">
        <v>1576</v>
      </c>
      <c r="CD20" s="115" t="s">
        <v>1577</v>
      </c>
      <c r="CE20" s="108" t="s">
        <v>10</v>
      </c>
    </row>
    <row r="21" spans="1:83" ht="15.75" customHeight="1" x14ac:dyDescent="0.3">
      <c r="A21" s="38">
        <v>19</v>
      </c>
      <c r="B21" s="112" t="s">
        <v>1578</v>
      </c>
      <c r="C21" s="113" t="s">
        <v>1579</v>
      </c>
      <c r="D21" s="114" t="s">
        <v>1580</v>
      </c>
      <c r="E21" s="112" t="s">
        <v>1581</v>
      </c>
      <c r="F21" s="113" t="s">
        <v>1582</v>
      </c>
      <c r="G21" s="114" t="s">
        <v>1583</v>
      </c>
      <c r="H21" s="112" t="s">
        <v>1584</v>
      </c>
      <c r="I21" s="113" t="s">
        <v>1585</v>
      </c>
      <c r="J21" s="114" t="s">
        <v>1586</v>
      </c>
      <c r="K21" s="112" t="s">
        <v>1587</v>
      </c>
      <c r="L21" s="113" t="s">
        <v>1588</v>
      </c>
      <c r="M21" s="114" t="s">
        <v>1589</v>
      </c>
      <c r="N21" s="112" t="s">
        <v>1590</v>
      </c>
      <c r="O21" s="113" t="s">
        <v>1591</v>
      </c>
      <c r="P21" s="114" t="s">
        <v>1592</v>
      </c>
      <c r="Q21" s="112" t="s">
        <v>1593</v>
      </c>
      <c r="R21" s="113" t="s">
        <v>1594</v>
      </c>
      <c r="S21" s="114" t="s">
        <v>1595</v>
      </c>
      <c r="T21" s="112" t="s">
        <v>1596</v>
      </c>
      <c r="U21" s="113" t="s">
        <v>1597</v>
      </c>
      <c r="V21" s="115" t="s">
        <v>1598</v>
      </c>
      <c r="W21" s="112" t="s">
        <v>1599</v>
      </c>
      <c r="X21" s="113" t="s">
        <v>1600</v>
      </c>
      <c r="Y21" s="114" t="s">
        <v>1601</v>
      </c>
      <c r="Z21" s="112" t="s">
        <v>1602</v>
      </c>
      <c r="AA21" s="113" t="s">
        <v>1603</v>
      </c>
      <c r="AB21" s="114" t="s">
        <v>1604</v>
      </c>
      <c r="AC21" s="112" t="s">
        <v>1605</v>
      </c>
      <c r="AD21" s="113" t="s">
        <v>1606</v>
      </c>
      <c r="AE21" s="114" t="s">
        <v>1607</v>
      </c>
      <c r="AF21" s="112" t="s">
        <v>1608</v>
      </c>
      <c r="AG21" s="113" t="s">
        <v>1609</v>
      </c>
      <c r="AH21" s="114" t="s">
        <v>1610</v>
      </c>
      <c r="AI21" s="112" t="s">
        <v>1611</v>
      </c>
      <c r="AJ21" s="113" t="s">
        <v>1612</v>
      </c>
      <c r="AK21" s="114" t="s">
        <v>1613</v>
      </c>
      <c r="AL21" s="116" t="s">
        <v>1614</v>
      </c>
      <c r="AM21" s="113" t="s">
        <v>1615</v>
      </c>
      <c r="AN21" s="114" t="s">
        <v>1616</v>
      </c>
      <c r="AO21" s="112" t="s">
        <v>1617</v>
      </c>
      <c r="AP21" s="113" t="s">
        <v>1618</v>
      </c>
      <c r="AQ21" s="114" t="s">
        <v>1619</v>
      </c>
      <c r="AR21" s="112" t="s">
        <v>1620</v>
      </c>
      <c r="AS21" s="113" t="s">
        <v>1621</v>
      </c>
      <c r="AT21" s="114" t="s">
        <v>1622</v>
      </c>
      <c r="AU21" s="112" t="s">
        <v>1623</v>
      </c>
      <c r="AV21" s="113" t="s">
        <v>1624</v>
      </c>
      <c r="AW21" s="114" t="s">
        <v>1625</v>
      </c>
      <c r="AX21" s="116" t="s">
        <v>1626</v>
      </c>
      <c r="AY21" s="113" t="s">
        <v>1627</v>
      </c>
      <c r="AZ21" s="114" t="s">
        <v>1628</v>
      </c>
      <c r="BA21" s="112" t="s">
        <v>1629</v>
      </c>
      <c r="BB21" s="113" t="s">
        <v>1630</v>
      </c>
      <c r="BC21" s="114" t="s">
        <v>1631</v>
      </c>
      <c r="BD21" s="117" t="s">
        <v>1632</v>
      </c>
      <c r="BE21" s="118" t="s">
        <v>1633</v>
      </c>
      <c r="BF21" s="115" t="s">
        <v>1634</v>
      </c>
      <c r="BG21" s="117" t="s">
        <v>1635</v>
      </c>
      <c r="BH21" s="118" t="s">
        <v>1636</v>
      </c>
      <c r="BI21" s="115" t="s">
        <v>1637</v>
      </c>
      <c r="BJ21" s="117" t="s">
        <v>1638</v>
      </c>
      <c r="BK21" s="118" t="s">
        <v>1639</v>
      </c>
      <c r="BL21" s="115" t="s">
        <v>1640</v>
      </c>
      <c r="BM21" s="117" t="s">
        <v>1641</v>
      </c>
      <c r="BN21" s="118" t="s">
        <v>1642</v>
      </c>
      <c r="BO21" s="115" t="s">
        <v>1643</v>
      </c>
      <c r="BP21" s="117" t="s">
        <v>1644</v>
      </c>
      <c r="BQ21" s="118" t="s">
        <v>1645</v>
      </c>
      <c r="BR21" s="115" t="s">
        <v>1646</v>
      </c>
      <c r="BS21" s="112" t="s">
        <v>1647</v>
      </c>
      <c r="BT21" s="113" t="s">
        <v>1648</v>
      </c>
      <c r="BU21" s="114" t="s">
        <v>1649</v>
      </c>
      <c r="BV21" s="117" t="s">
        <v>1650</v>
      </c>
      <c r="BW21" s="118" t="s">
        <v>1651</v>
      </c>
      <c r="BX21" s="115" t="s">
        <v>1652</v>
      </c>
      <c r="BY21" s="117" t="s">
        <v>1653</v>
      </c>
      <c r="BZ21" s="113" t="s">
        <v>1654</v>
      </c>
      <c r="CA21" s="115" t="s">
        <v>1655</v>
      </c>
      <c r="CB21" s="117" t="s">
        <v>1656</v>
      </c>
      <c r="CC21" s="118" t="s">
        <v>1657</v>
      </c>
      <c r="CD21" s="115" t="s">
        <v>1658</v>
      </c>
      <c r="CE21" s="108" t="s">
        <v>10</v>
      </c>
    </row>
    <row r="22" spans="1:83" ht="15.75" customHeight="1" x14ac:dyDescent="0.3">
      <c r="A22" s="38">
        <v>20</v>
      </c>
      <c r="B22" s="112" t="s">
        <v>1659</v>
      </c>
      <c r="C22" s="113" t="s">
        <v>1660</v>
      </c>
      <c r="D22" s="114" t="s">
        <v>1661</v>
      </c>
      <c r="E22" s="112" t="s">
        <v>1662</v>
      </c>
      <c r="F22" s="113" t="s">
        <v>1663</v>
      </c>
      <c r="G22" s="114" t="s">
        <v>1664</v>
      </c>
      <c r="H22" s="112" t="s">
        <v>1665</v>
      </c>
      <c r="I22" s="113" t="s">
        <v>1666</v>
      </c>
      <c r="J22" s="114" t="s">
        <v>1667</v>
      </c>
      <c r="K22" s="112" t="s">
        <v>1668</v>
      </c>
      <c r="L22" s="113" t="s">
        <v>1669</v>
      </c>
      <c r="M22" s="114" t="s">
        <v>1670</v>
      </c>
      <c r="N22" s="112" t="s">
        <v>1671</v>
      </c>
      <c r="O22" s="113" t="s">
        <v>1672</v>
      </c>
      <c r="P22" s="114" t="s">
        <v>1673</v>
      </c>
      <c r="Q22" s="112" t="s">
        <v>1674</v>
      </c>
      <c r="R22" s="113" t="s">
        <v>1675</v>
      </c>
      <c r="S22" s="114" t="s">
        <v>1676</v>
      </c>
      <c r="T22" s="112" t="s">
        <v>1677</v>
      </c>
      <c r="U22" s="113" t="s">
        <v>1678</v>
      </c>
      <c r="V22" s="115" t="s">
        <v>1679</v>
      </c>
      <c r="W22" s="112" t="s">
        <v>1680</v>
      </c>
      <c r="X22" s="113" t="s">
        <v>1681</v>
      </c>
      <c r="Y22" s="114" t="s">
        <v>1682</v>
      </c>
      <c r="Z22" s="112" t="s">
        <v>1683</v>
      </c>
      <c r="AA22" s="113" t="s">
        <v>1684</v>
      </c>
      <c r="AB22" s="114" t="s">
        <v>1685</v>
      </c>
      <c r="AC22" s="112" t="s">
        <v>1686</v>
      </c>
      <c r="AD22" s="113" t="s">
        <v>1687</v>
      </c>
      <c r="AE22" s="114" t="s">
        <v>1688</v>
      </c>
      <c r="AF22" s="112" t="s">
        <v>1689</v>
      </c>
      <c r="AG22" s="113" t="s">
        <v>1690</v>
      </c>
      <c r="AH22" s="114" t="s">
        <v>1691</v>
      </c>
      <c r="AI22" s="112" t="s">
        <v>1692</v>
      </c>
      <c r="AJ22" s="113" t="s">
        <v>1693</v>
      </c>
      <c r="AK22" s="114" t="s">
        <v>1694</v>
      </c>
      <c r="AL22" s="116" t="s">
        <v>1695</v>
      </c>
      <c r="AM22" s="113" t="s">
        <v>1696</v>
      </c>
      <c r="AN22" s="114" t="s">
        <v>1697</v>
      </c>
      <c r="AO22" s="112" t="s">
        <v>1698</v>
      </c>
      <c r="AP22" s="113" t="s">
        <v>1699</v>
      </c>
      <c r="AQ22" s="114" t="s">
        <v>1700</v>
      </c>
      <c r="AR22" s="112" t="s">
        <v>1701</v>
      </c>
      <c r="AS22" s="113" t="s">
        <v>1702</v>
      </c>
      <c r="AT22" s="114" t="s">
        <v>1703</v>
      </c>
      <c r="AU22" s="112" t="s">
        <v>1704</v>
      </c>
      <c r="AV22" s="113" t="s">
        <v>1705</v>
      </c>
      <c r="AW22" s="114" t="s">
        <v>1706</v>
      </c>
      <c r="AX22" s="116" t="s">
        <v>1707</v>
      </c>
      <c r="AY22" s="113" t="s">
        <v>1708</v>
      </c>
      <c r="AZ22" s="114" t="s">
        <v>1709</v>
      </c>
      <c r="BA22" s="112" t="s">
        <v>1710</v>
      </c>
      <c r="BB22" s="113" t="s">
        <v>1711</v>
      </c>
      <c r="BC22" s="114" t="s">
        <v>1712</v>
      </c>
      <c r="BD22" s="117" t="s">
        <v>1713</v>
      </c>
      <c r="BE22" s="118" t="s">
        <v>1714</v>
      </c>
      <c r="BF22" s="115" t="s">
        <v>1715</v>
      </c>
      <c r="BG22" s="117" t="s">
        <v>1716</v>
      </c>
      <c r="BH22" s="118" t="s">
        <v>1717</v>
      </c>
      <c r="BI22" s="115" t="s">
        <v>1718</v>
      </c>
      <c r="BJ22" s="117" t="s">
        <v>1719</v>
      </c>
      <c r="BK22" s="118" t="s">
        <v>1720</v>
      </c>
      <c r="BL22" s="115" t="s">
        <v>1721</v>
      </c>
      <c r="BM22" s="117" t="s">
        <v>1722</v>
      </c>
      <c r="BN22" s="118" t="s">
        <v>1723</v>
      </c>
      <c r="BO22" s="115" t="s">
        <v>1724</v>
      </c>
      <c r="BP22" s="117" t="s">
        <v>1725</v>
      </c>
      <c r="BQ22" s="118" t="s">
        <v>1726</v>
      </c>
      <c r="BR22" s="115" t="s">
        <v>1727</v>
      </c>
      <c r="BS22" s="112" t="s">
        <v>1728</v>
      </c>
      <c r="BT22" s="113" t="s">
        <v>1729</v>
      </c>
      <c r="BU22" s="114" t="s">
        <v>1730</v>
      </c>
      <c r="BV22" s="117" t="s">
        <v>1731</v>
      </c>
      <c r="BW22" s="118" t="s">
        <v>1732</v>
      </c>
      <c r="BX22" s="115" t="s">
        <v>1733</v>
      </c>
      <c r="BY22" s="117" t="s">
        <v>1734</v>
      </c>
      <c r="BZ22" s="118" t="s">
        <v>1735</v>
      </c>
      <c r="CA22" s="115" t="s">
        <v>1736</v>
      </c>
      <c r="CB22" s="117" t="s">
        <v>1737</v>
      </c>
      <c r="CC22" s="118" t="s">
        <v>1738</v>
      </c>
      <c r="CD22" s="115" t="s">
        <v>1739</v>
      </c>
      <c r="CE22" s="108" t="s">
        <v>10</v>
      </c>
    </row>
    <row r="23" spans="1:83" ht="15.75" customHeight="1" x14ac:dyDescent="0.3">
      <c r="A23" s="38">
        <v>21</v>
      </c>
      <c r="B23" s="112" t="s">
        <v>1740</v>
      </c>
      <c r="C23" s="113" t="s">
        <v>1741</v>
      </c>
      <c r="D23" s="114" t="s">
        <v>1742</v>
      </c>
      <c r="E23" s="112" t="s">
        <v>1743</v>
      </c>
      <c r="F23" s="113" t="s">
        <v>1744</v>
      </c>
      <c r="G23" s="114" t="s">
        <v>1745</v>
      </c>
      <c r="H23" s="112" t="s">
        <v>1746</v>
      </c>
      <c r="I23" s="113" t="s">
        <v>1747</v>
      </c>
      <c r="J23" s="114" t="s">
        <v>1748</v>
      </c>
      <c r="K23" s="112" t="s">
        <v>1749</v>
      </c>
      <c r="L23" s="113" t="s">
        <v>1750</v>
      </c>
      <c r="M23" s="114" t="s">
        <v>1751</v>
      </c>
      <c r="N23" s="112" t="s">
        <v>1752</v>
      </c>
      <c r="O23" s="113" t="s">
        <v>1753</v>
      </c>
      <c r="P23" s="114" t="s">
        <v>1754</v>
      </c>
      <c r="Q23" s="112" t="s">
        <v>1755</v>
      </c>
      <c r="R23" s="113" t="s">
        <v>1756</v>
      </c>
      <c r="S23" s="114" t="s">
        <v>1757</v>
      </c>
      <c r="T23" s="112" t="s">
        <v>1758</v>
      </c>
      <c r="U23" s="113" t="s">
        <v>1759</v>
      </c>
      <c r="V23" s="115" t="s">
        <v>1760</v>
      </c>
      <c r="W23" s="112" t="s">
        <v>1761</v>
      </c>
      <c r="X23" s="113" t="s">
        <v>1762</v>
      </c>
      <c r="Y23" s="114" t="s">
        <v>1763</v>
      </c>
      <c r="Z23" s="112" t="s">
        <v>1764</v>
      </c>
      <c r="AA23" s="113" t="s">
        <v>1765</v>
      </c>
      <c r="AB23" s="114" t="s">
        <v>1766</v>
      </c>
      <c r="AC23" s="112" t="s">
        <v>1767</v>
      </c>
      <c r="AD23" s="113" t="s">
        <v>1768</v>
      </c>
      <c r="AE23" s="114" t="s">
        <v>1769</v>
      </c>
      <c r="AF23" s="112" t="s">
        <v>1770</v>
      </c>
      <c r="AG23" s="113" t="s">
        <v>1771</v>
      </c>
      <c r="AH23" s="114" t="s">
        <v>1772</v>
      </c>
      <c r="AI23" s="112" t="s">
        <v>1773</v>
      </c>
      <c r="AJ23" s="113" t="s">
        <v>1774</v>
      </c>
      <c r="AK23" s="114" t="s">
        <v>1775</v>
      </c>
      <c r="AL23" s="116" t="s">
        <v>1776</v>
      </c>
      <c r="AM23" s="113" t="s">
        <v>1777</v>
      </c>
      <c r="AN23" s="114" t="s">
        <v>1778</v>
      </c>
      <c r="AO23" s="112" t="s">
        <v>1779</v>
      </c>
      <c r="AP23" s="113" t="s">
        <v>1780</v>
      </c>
      <c r="AQ23" s="114" t="s">
        <v>1781</v>
      </c>
      <c r="AR23" s="112" t="s">
        <v>1782</v>
      </c>
      <c r="AS23" s="113" t="s">
        <v>1783</v>
      </c>
      <c r="AT23" s="114" t="s">
        <v>1784</v>
      </c>
      <c r="AU23" s="112" t="s">
        <v>1785</v>
      </c>
      <c r="AV23" s="113" t="s">
        <v>1786</v>
      </c>
      <c r="AW23" s="114" t="s">
        <v>1787</v>
      </c>
      <c r="AX23" s="116" t="s">
        <v>1788</v>
      </c>
      <c r="AY23" s="113" t="s">
        <v>1789</v>
      </c>
      <c r="AZ23" s="114" t="s">
        <v>1790</v>
      </c>
      <c r="BA23" s="112" t="s">
        <v>1791</v>
      </c>
      <c r="BB23" s="113" t="s">
        <v>1792</v>
      </c>
      <c r="BC23" s="114" t="s">
        <v>1793</v>
      </c>
      <c r="BD23" s="117" t="s">
        <v>1794</v>
      </c>
      <c r="BE23" s="118" t="s">
        <v>1795</v>
      </c>
      <c r="BF23" s="115" t="s">
        <v>1796</v>
      </c>
      <c r="BG23" s="117" t="s">
        <v>1797</v>
      </c>
      <c r="BH23" s="118" t="s">
        <v>1798</v>
      </c>
      <c r="BI23" s="115" t="s">
        <v>1799</v>
      </c>
      <c r="BJ23" s="117" t="s">
        <v>1800</v>
      </c>
      <c r="BK23" s="118" t="s">
        <v>1801</v>
      </c>
      <c r="BL23" s="115" t="s">
        <v>1802</v>
      </c>
      <c r="BM23" s="117" t="s">
        <v>1803</v>
      </c>
      <c r="BN23" s="118" t="s">
        <v>1804</v>
      </c>
      <c r="BO23" s="115" t="s">
        <v>1805</v>
      </c>
      <c r="BP23" s="117" t="s">
        <v>1806</v>
      </c>
      <c r="BQ23" s="118" t="s">
        <v>1807</v>
      </c>
      <c r="BR23" s="115" t="s">
        <v>1808</v>
      </c>
      <c r="BS23" s="112" t="s">
        <v>1809</v>
      </c>
      <c r="BT23" s="113" t="s">
        <v>1810</v>
      </c>
      <c r="BU23" s="114" t="s">
        <v>1811</v>
      </c>
      <c r="BV23" s="117" t="s">
        <v>1812</v>
      </c>
      <c r="BW23" s="118" t="s">
        <v>1813</v>
      </c>
      <c r="BX23" s="115" t="s">
        <v>1814</v>
      </c>
      <c r="BY23" s="117" t="s">
        <v>1815</v>
      </c>
      <c r="BZ23" s="113" t="s">
        <v>1816</v>
      </c>
      <c r="CA23" s="115" t="s">
        <v>1817</v>
      </c>
      <c r="CB23" s="117" t="s">
        <v>1818</v>
      </c>
      <c r="CC23" s="118" t="s">
        <v>1819</v>
      </c>
      <c r="CD23" s="115" t="s">
        <v>1820</v>
      </c>
      <c r="CE23" s="108" t="s">
        <v>10</v>
      </c>
    </row>
    <row r="24" spans="1:83" ht="15.75" customHeight="1" x14ac:dyDescent="0.3">
      <c r="A24" s="38">
        <v>22</v>
      </c>
      <c r="B24" s="112" t="s">
        <v>1821</v>
      </c>
      <c r="C24" s="113" t="s">
        <v>1822</v>
      </c>
      <c r="D24" s="114" t="s">
        <v>1823</v>
      </c>
      <c r="E24" s="112" t="s">
        <v>1824</v>
      </c>
      <c r="F24" s="113" t="s">
        <v>1825</v>
      </c>
      <c r="G24" s="114" t="s">
        <v>1826</v>
      </c>
      <c r="H24" s="112" t="s">
        <v>1827</v>
      </c>
      <c r="I24" s="113" t="s">
        <v>1828</v>
      </c>
      <c r="J24" s="114" t="s">
        <v>1829</v>
      </c>
      <c r="K24" s="112" t="s">
        <v>1830</v>
      </c>
      <c r="L24" s="113" t="s">
        <v>1831</v>
      </c>
      <c r="M24" s="114" t="s">
        <v>1832</v>
      </c>
      <c r="N24" s="112" t="s">
        <v>1833</v>
      </c>
      <c r="O24" s="113" t="s">
        <v>1834</v>
      </c>
      <c r="P24" s="114" t="s">
        <v>1835</v>
      </c>
      <c r="Q24" s="112" t="s">
        <v>1836</v>
      </c>
      <c r="R24" s="113" t="s">
        <v>1837</v>
      </c>
      <c r="S24" s="114" t="s">
        <v>1838</v>
      </c>
      <c r="T24" s="112" t="s">
        <v>1839</v>
      </c>
      <c r="U24" s="113" t="s">
        <v>1840</v>
      </c>
      <c r="V24" s="115" t="s">
        <v>1841</v>
      </c>
      <c r="W24" s="112" t="s">
        <v>1842</v>
      </c>
      <c r="X24" s="113" t="s">
        <v>1843</v>
      </c>
      <c r="Y24" s="114" t="s">
        <v>1844</v>
      </c>
      <c r="Z24" s="112" t="s">
        <v>1845</v>
      </c>
      <c r="AA24" s="113" t="s">
        <v>1846</v>
      </c>
      <c r="AB24" s="114" t="s">
        <v>1847</v>
      </c>
      <c r="AC24" s="112" t="s">
        <v>1848</v>
      </c>
      <c r="AD24" s="113" t="s">
        <v>1849</v>
      </c>
      <c r="AE24" s="114" t="s">
        <v>1850</v>
      </c>
      <c r="AF24" s="112" t="s">
        <v>1851</v>
      </c>
      <c r="AG24" s="113" t="s">
        <v>1852</v>
      </c>
      <c r="AH24" s="114" t="s">
        <v>1853</v>
      </c>
      <c r="AI24" s="112" t="s">
        <v>1854</v>
      </c>
      <c r="AJ24" s="113" t="s">
        <v>1855</v>
      </c>
      <c r="AK24" s="114" t="s">
        <v>1856</v>
      </c>
      <c r="AL24" s="116" t="s">
        <v>1857</v>
      </c>
      <c r="AM24" s="113" t="s">
        <v>1858</v>
      </c>
      <c r="AN24" s="114" t="s">
        <v>1859</v>
      </c>
      <c r="AO24" s="112" t="s">
        <v>1860</v>
      </c>
      <c r="AP24" s="113" t="s">
        <v>1861</v>
      </c>
      <c r="AQ24" s="114" t="s">
        <v>1862</v>
      </c>
      <c r="AR24" s="112" t="s">
        <v>1863</v>
      </c>
      <c r="AS24" s="113" t="s">
        <v>1864</v>
      </c>
      <c r="AT24" s="114" t="s">
        <v>1865</v>
      </c>
      <c r="AU24" s="112" t="s">
        <v>1866</v>
      </c>
      <c r="AV24" s="113" t="s">
        <v>1867</v>
      </c>
      <c r="AW24" s="114" t="s">
        <v>1868</v>
      </c>
      <c r="AX24" s="116" t="s">
        <v>1869</v>
      </c>
      <c r="AY24" s="113" t="s">
        <v>1870</v>
      </c>
      <c r="AZ24" s="114" t="s">
        <v>1871</v>
      </c>
      <c r="BA24" s="112" t="s">
        <v>1872</v>
      </c>
      <c r="BB24" s="113" t="s">
        <v>1873</v>
      </c>
      <c r="BC24" s="114" t="s">
        <v>1874</v>
      </c>
      <c r="BD24" s="117" t="s">
        <v>1875</v>
      </c>
      <c r="BE24" s="118" t="s">
        <v>1876</v>
      </c>
      <c r="BF24" s="115" t="s">
        <v>1877</v>
      </c>
      <c r="BG24" s="117" t="s">
        <v>1878</v>
      </c>
      <c r="BH24" s="118" t="s">
        <v>1879</v>
      </c>
      <c r="BI24" s="115" t="s">
        <v>1880</v>
      </c>
      <c r="BJ24" s="117" t="s">
        <v>1881</v>
      </c>
      <c r="BK24" s="118" t="s">
        <v>1882</v>
      </c>
      <c r="BL24" s="115" t="s">
        <v>1883</v>
      </c>
      <c r="BM24" s="117" t="s">
        <v>1884</v>
      </c>
      <c r="BN24" s="118" t="s">
        <v>1885</v>
      </c>
      <c r="BO24" s="115" t="s">
        <v>1886</v>
      </c>
      <c r="BP24" s="117" t="s">
        <v>1887</v>
      </c>
      <c r="BQ24" s="118" t="s">
        <v>1888</v>
      </c>
      <c r="BR24" s="115" t="s">
        <v>1889</v>
      </c>
      <c r="BS24" s="112" t="s">
        <v>1890</v>
      </c>
      <c r="BT24" s="113" t="s">
        <v>1891</v>
      </c>
      <c r="BU24" s="114" t="s">
        <v>1892</v>
      </c>
      <c r="BV24" s="117" t="s">
        <v>1893</v>
      </c>
      <c r="BW24" s="118" t="s">
        <v>1894</v>
      </c>
      <c r="BX24" s="115" t="s">
        <v>1895</v>
      </c>
      <c r="BY24" s="117" t="s">
        <v>1896</v>
      </c>
      <c r="BZ24" s="118" t="s">
        <v>1897</v>
      </c>
      <c r="CA24" s="115" t="s">
        <v>1898</v>
      </c>
      <c r="CB24" s="117" t="s">
        <v>1899</v>
      </c>
      <c r="CC24" s="118" t="s">
        <v>1900</v>
      </c>
      <c r="CD24" s="115" t="s">
        <v>1901</v>
      </c>
      <c r="CE24" s="108" t="s">
        <v>10</v>
      </c>
    </row>
    <row r="25" spans="1:83" ht="15.75" customHeight="1" x14ac:dyDescent="0.3">
      <c r="A25" s="38">
        <v>23</v>
      </c>
      <c r="B25" s="112" t="s">
        <v>1902</v>
      </c>
      <c r="C25" s="113" t="s">
        <v>1903</v>
      </c>
      <c r="D25" s="114" t="s">
        <v>1904</v>
      </c>
      <c r="E25" s="112" t="s">
        <v>1905</v>
      </c>
      <c r="F25" s="113" t="s">
        <v>1906</v>
      </c>
      <c r="G25" s="114" t="s">
        <v>1907</v>
      </c>
      <c r="H25" s="112" t="s">
        <v>1908</v>
      </c>
      <c r="I25" s="113" t="s">
        <v>1909</v>
      </c>
      <c r="J25" s="114" t="s">
        <v>1910</v>
      </c>
      <c r="K25" s="112" t="s">
        <v>1911</v>
      </c>
      <c r="L25" s="113" t="s">
        <v>1912</v>
      </c>
      <c r="M25" s="114" t="s">
        <v>1913</v>
      </c>
      <c r="N25" s="112" t="s">
        <v>1914</v>
      </c>
      <c r="O25" s="113" t="s">
        <v>1915</v>
      </c>
      <c r="P25" s="114" t="s">
        <v>1916</v>
      </c>
      <c r="Q25" s="112" t="s">
        <v>1917</v>
      </c>
      <c r="R25" s="113" t="s">
        <v>1918</v>
      </c>
      <c r="S25" s="114" t="s">
        <v>1919</v>
      </c>
      <c r="T25" s="112" t="s">
        <v>1920</v>
      </c>
      <c r="U25" s="113" t="s">
        <v>1921</v>
      </c>
      <c r="V25" s="115" t="s">
        <v>1922</v>
      </c>
      <c r="W25" s="112" t="s">
        <v>1923</v>
      </c>
      <c r="X25" s="113" t="s">
        <v>1924</v>
      </c>
      <c r="Y25" s="114" t="s">
        <v>1925</v>
      </c>
      <c r="Z25" s="112" t="s">
        <v>1926</v>
      </c>
      <c r="AA25" s="113" t="s">
        <v>1927</v>
      </c>
      <c r="AB25" s="114" t="s">
        <v>1928</v>
      </c>
      <c r="AC25" s="112" t="s">
        <v>1929</v>
      </c>
      <c r="AD25" s="113" t="s">
        <v>1930</v>
      </c>
      <c r="AE25" s="114" t="s">
        <v>1931</v>
      </c>
      <c r="AF25" s="112" t="s">
        <v>1932</v>
      </c>
      <c r="AG25" s="113" t="s">
        <v>1933</v>
      </c>
      <c r="AH25" s="114" t="s">
        <v>1934</v>
      </c>
      <c r="AI25" s="112" t="s">
        <v>1935</v>
      </c>
      <c r="AJ25" s="113" t="s">
        <v>1936</v>
      </c>
      <c r="AK25" s="114" t="s">
        <v>1937</v>
      </c>
      <c r="AL25" s="116" t="s">
        <v>1938</v>
      </c>
      <c r="AM25" s="113" t="s">
        <v>1939</v>
      </c>
      <c r="AN25" s="114" t="s">
        <v>1940</v>
      </c>
      <c r="AO25" s="112" t="s">
        <v>1941</v>
      </c>
      <c r="AP25" s="113" t="s">
        <v>1942</v>
      </c>
      <c r="AQ25" s="114" t="s">
        <v>1943</v>
      </c>
      <c r="AR25" s="112" t="s">
        <v>1944</v>
      </c>
      <c r="AS25" s="113" t="s">
        <v>1945</v>
      </c>
      <c r="AT25" s="114" t="s">
        <v>1946</v>
      </c>
      <c r="AU25" s="112" t="s">
        <v>1947</v>
      </c>
      <c r="AV25" s="113" t="s">
        <v>1948</v>
      </c>
      <c r="AW25" s="114" t="s">
        <v>1949</v>
      </c>
      <c r="AX25" s="116" t="s">
        <v>1950</v>
      </c>
      <c r="AY25" s="113" t="s">
        <v>1951</v>
      </c>
      <c r="AZ25" s="114" t="s">
        <v>1952</v>
      </c>
      <c r="BA25" s="112" t="s">
        <v>1953</v>
      </c>
      <c r="BB25" s="113" t="s">
        <v>1954</v>
      </c>
      <c r="BC25" s="114" t="s">
        <v>1955</v>
      </c>
      <c r="BD25" s="117" t="s">
        <v>1956</v>
      </c>
      <c r="BE25" s="118" t="s">
        <v>1957</v>
      </c>
      <c r="BF25" s="115" t="s">
        <v>1958</v>
      </c>
      <c r="BG25" s="117" t="s">
        <v>1959</v>
      </c>
      <c r="BH25" s="118" t="s">
        <v>1960</v>
      </c>
      <c r="BI25" s="115" t="s">
        <v>1961</v>
      </c>
      <c r="BJ25" s="117" t="s">
        <v>1962</v>
      </c>
      <c r="BK25" s="118" t="s">
        <v>1963</v>
      </c>
      <c r="BL25" s="115" t="s">
        <v>1964</v>
      </c>
      <c r="BM25" s="117" t="s">
        <v>1965</v>
      </c>
      <c r="BN25" s="118" t="s">
        <v>1966</v>
      </c>
      <c r="BO25" s="115" t="s">
        <v>1967</v>
      </c>
      <c r="BP25" s="117" t="s">
        <v>1968</v>
      </c>
      <c r="BQ25" s="118" t="s">
        <v>1969</v>
      </c>
      <c r="BR25" s="115" t="s">
        <v>1970</v>
      </c>
      <c r="BS25" s="112" t="s">
        <v>1971</v>
      </c>
      <c r="BT25" s="113" t="s">
        <v>1972</v>
      </c>
      <c r="BU25" s="114" t="s">
        <v>1973</v>
      </c>
      <c r="BV25" s="117" t="s">
        <v>1974</v>
      </c>
      <c r="BW25" s="118" t="s">
        <v>1975</v>
      </c>
      <c r="BX25" s="115" t="s">
        <v>1976</v>
      </c>
      <c r="BY25" s="117" t="s">
        <v>1977</v>
      </c>
      <c r="BZ25" s="113" t="s">
        <v>1978</v>
      </c>
      <c r="CA25" s="115" t="s">
        <v>1979</v>
      </c>
      <c r="CB25" s="117" t="s">
        <v>1980</v>
      </c>
      <c r="CC25" s="118" t="s">
        <v>1981</v>
      </c>
      <c r="CD25" s="115" t="s">
        <v>1982</v>
      </c>
      <c r="CE25" s="108" t="s">
        <v>10</v>
      </c>
    </row>
    <row r="26" spans="1:83" ht="15.75" customHeight="1" x14ac:dyDescent="0.3">
      <c r="A26" s="38">
        <v>24</v>
      </c>
      <c r="B26" s="112" t="s">
        <v>1983</v>
      </c>
      <c r="C26" s="113" t="s">
        <v>1984</v>
      </c>
      <c r="D26" s="114" t="s">
        <v>1985</v>
      </c>
      <c r="E26" s="112" t="s">
        <v>1986</v>
      </c>
      <c r="F26" s="113" t="s">
        <v>1987</v>
      </c>
      <c r="G26" s="114" t="s">
        <v>1988</v>
      </c>
      <c r="H26" s="112" t="s">
        <v>1989</v>
      </c>
      <c r="I26" s="113" t="s">
        <v>1990</v>
      </c>
      <c r="J26" s="114" t="s">
        <v>1991</v>
      </c>
      <c r="K26" s="112" t="s">
        <v>1992</v>
      </c>
      <c r="L26" s="113" t="s">
        <v>1993</v>
      </c>
      <c r="M26" s="114" t="s">
        <v>1994</v>
      </c>
      <c r="N26" s="112" t="s">
        <v>1995</v>
      </c>
      <c r="O26" s="113" t="s">
        <v>1996</v>
      </c>
      <c r="P26" s="114" t="s">
        <v>1997</v>
      </c>
      <c r="Q26" s="112" t="s">
        <v>1998</v>
      </c>
      <c r="R26" s="113" t="s">
        <v>1999</v>
      </c>
      <c r="S26" s="114" t="s">
        <v>2000</v>
      </c>
      <c r="T26" s="112" t="s">
        <v>2001</v>
      </c>
      <c r="U26" s="113" t="s">
        <v>2002</v>
      </c>
      <c r="V26" s="115" t="s">
        <v>2003</v>
      </c>
      <c r="W26" s="112" t="s">
        <v>2004</v>
      </c>
      <c r="X26" s="113" t="s">
        <v>2005</v>
      </c>
      <c r="Y26" s="114" t="s">
        <v>2006</v>
      </c>
      <c r="Z26" s="112" t="s">
        <v>2007</v>
      </c>
      <c r="AA26" s="113" t="s">
        <v>2008</v>
      </c>
      <c r="AB26" s="114" t="s">
        <v>2009</v>
      </c>
      <c r="AC26" s="112" t="s">
        <v>2010</v>
      </c>
      <c r="AD26" s="113" t="s">
        <v>2011</v>
      </c>
      <c r="AE26" s="114" t="s">
        <v>2012</v>
      </c>
      <c r="AF26" s="112" t="s">
        <v>2013</v>
      </c>
      <c r="AG26" s="113" t="s">
        <v>2014</v>
      </c>
      <c r="AH26" s="114" t="s">
        <v>2015</v>
      </c>
      <c r="AI26" s="112" t="s">
        <v>2016</v>
      </c>
      <c r="AJ26" s="113" t="s">
        <v>2017</v>
      </c>
      <c r="AK26" s="114" t="s">
        <v>2018</v>
      </c>
      <c r="AL26" s="116" t="s">
        <v>2019</v>
      </c>
      <c r="AM26" s="113" t="s">
        <v>2020</v>
      </c>
      <c r="AN26" s="114" t="s">
        <v>2021</v>
      </c>
      <c r="AO26" s="112" t="s">
        <v>2022</v>
      </c>
      <c r="AP26" s="113" t="s">
        <v>2023</v>
      </c>
      <c r="AQ26" s="114" t="s">
        <v>2024</v>
      </c>
      <c r="AR26" s="112" t="s">
        <v>2025</v>
      </c>
      <c r="AS26" s="113" t="s">
        <v>2026</v>
      </c>
      <c r="AT26" s="114" t="s">
        <v>2027</v>
      </c>
      <c r="AU26" s="112" t="s">
        <v>2028</v>
      </c>
      <c r="AV26" s="113" t="s">
        <v>2029</v>
      </c>
      <c r="AW26" s="114" t="s">
        <v>2030</v>
      </c>
      <c r="AX26" s="116" t="s">
        <v>2031</v>
      </c>
      <c r="AY26" s="113" t="s">
        <v>2032</v>
      </c>
      <c r="AZ26" s="114" t="s">
        <v>2033</v>
      </c>
      <c r="BA26" s="112" t="s">
        <v>2034</v>
      </c>
      <c r="BB26" s="113" t="s">
        <v>2035</v>
      </c>
      <c r="BC26" s="114" t="s">
        <v>2036</v>
      </c>
      <c r="BD26" s="117" t="s">
        <v>2037</v>
      </c>
      <c r="BE26" s="118" t="s">
        <v>2038</v>
      </c>
      <c r="BF26" s="115" t="s">
        <v>2039</v>
      </c>
      <c r="BG26" s="117" t="s">
        <v>2040</v>
      </c>
      <c r="BH26" s="118" t="s">
        <v>2041</v>
      </c>
      <c r="BI26" s="115" t="s">
        <v>2042</v>
      </c>
      <c r="BJ26" s="117" t="s">
        <v>2043</v>
      </c>
      <c r="BK26" s="118" t="s">
        <v>2044</v>
      </c>
      <c r="BL26" s="115" t="s">
        <v>2045</v>
      </c>
      <c r="BM26" s="117" t="s">
        <v>2046</v>
      </c>
      <c r="BN26" s="118" t="s">
        <v>2047</v>
      </c>
      <c r="BO26" s="115" t="s">
        <v>2048</v>
      </c>
      <c r="BP26" s="117" t="s">
        <v>2049</v>
      </c>
      <c r="BQ26" s="118" t="s">
        <v>2050</v>
      </c>
      <c r="BR26" s="115" t="s">
        <v>2051</v>
      </c>
      <c r="BS26" s="112" t="s">
        <v>2052</v>
      </c>
      <c r="BT26" s="113" t="s">
        <v>2053</v>
      </c>
      <c r="BU26" s="114" t="s">
        <v>2054</v>
      </c>
      <c r="BV26" s="117" t="s">
        <v>2055</v>
      </c>
      <c r="BW26" s="118" t="s">
        <v>2056</v>
      </c>
      <c r="BX26" s="115" t="s">
        <v>2057</v>
      </c>
      <c r="BY26" s="117" t="s">
        <v>2058</v>
      </c>
      <c r="BZ26" s="118" t="s">
        <v>2059</v>
      </c>
      <c r="CA26" s="115" t="s">
        <v>2060</v>
      </c>
      <c r="CB26" s="117" t="s">
        <v>2061</v>
      </c>
      <c r="CC26" s="118" t="s">
        <v>2062</v>
      </c>
      <c r="CD26" s="115" t="s">
        <v>2063</v>
      </c>
      <c r="CE26" s="108" t="s">
        <v>10</v>
      </c>
    </row>
    <row r="27" spans="1:83" ht="15.75" customHeight="1" x14ac:dyDescent="0.3">
      <c r="A27" s="38">
        <v>25</v>
      </c>
      <c r="B27" s="112" t="s">
        <v>2064</v>
      </c>
      <c r="C27" s="113" t="s">
        <v>2065</v>
      </c>
      <c r="D27" s="114" t="s">
        <v>2066</v>
      </c>
      <c r="E27" s="112" t="s">
        <v>2067</v>
      </c>
      <c r="F27" s="113" t="s">
        <v>2068</v>
      </c>
      <c r="G27" s="114" t="s">
        <v>2069</v>
      </c>
      <c r="H27" s="112" t="s">
        <v>2070</v>
      </c>
      <c r="I27" s="113" t="s">
        <v>2071</v>
      </c>
      <c r="J27" s="114" t="s">
        <v>2072</v>
      </c>
      <c r="K27" s="112" t="s">
        <v>2073</v>
      </c>
      <c r="L27" s="113" t="s">
        <v>2074</v>
      </c>
      <c r="M27" s="114" t="s">
        <v>2075</v>
      </c>
      <c r="N27" s="112" t="s">
        <v>2076</v>
      </c>
      <c r="O27" s="113" t="s">
        <v>2077</v>
      </c>
      <c r="P27" s="114" t="s">
        <v>2078</v>
      </c>
      <c r="Q27" s="112" t="s">
        <v>2079</v>
      </c>
      <c r="R27" s="113" t="s">
        <v>2080</v>
      </c>
      <c r="S27" s="114" t="s">
        <v>2081</v>
      </c>
      <c r="T27" s="112" t="s">
        <v>2082</v>
      </c>
      <c r="U27" s="113" t="s">
        <v>2083</v>
      </c>
      <c r="V27" s="115" t="s">
        <v>2084</v>
      </c>
      <c r="W27" s="112" t="s">
        <v>2085</v>
      </c>
      <c r="X27" s="113" t="s">
        <v>2086</v>
      </c>
      <c r="Y27" s="114" t="s">
        <v>2087</v>
      </c>
      <c r="Z27" s="112" t="s">
        <v>2088</v>
      </c>
      <c r="AA27" s="113" t="s">
        <v>2089</v>
      </c>
      <c r="AB27" s="114" t="s">
        <v>2090</v>
      </c>
      <c r="AC27" s="112" t="s">
        <v>2091</v>
      </c>
      <c r="AD27" s="113" t="s">
        <v>2092</v>
      </c>
      <c r="AE27" s="114" t="s">
        <v>2093</v>
      </c>
      <c r="AF27" s="112" t="s">
        <v>2094</v>
      </c>
      <c r="AG27" s="113" t="s">
        <v>2095</v>
      </c>
      <c r="AH27" s="114" t="s">
        <v>2096</v>
      </c>
      <c r="AI27" s="112" t="s">
        <v>2097</v>
      </c>
      <c r="AJ27" s="113" t="s">
        <v>2098</v>
      </c>
      <c r="AK27" s="114" t="s">
        <v>2099</v>
      </c>
      <c r="AL27" s="116" t="s">
        <v>2100</v>
      </c>
      <c r="AM27" s="113" t="s">
        <v>2101</v>
      </c>
      <c r="AN27" s="114" t="s">
        <v>2102</v>
      </c>
      <c r="AO27" s="112" t="s">
        <v>2103</v>
      </c>
      <c r="AP27" s="113" t="s">
        <v>2104</v>
      </c>
      <c r="AQ27" s="114" t="s">
        <v>2105</v>
      </c>
      <c r="AR27" s="112" t="s">
        <v>2106</v>
      </c>
      <c r="AS27" s="113" t="s">
        <v>2107</v>
      </c>
      <c r="AT27" s="114" t="s">
        <v>2108</v>
      </c>
      <c r="AU27" s="112" t="s">
        <v>2109</v>
      </c>
      <c r="AV27" s="113" t="s">
        <v>2110</v>
      </c>
      <c r="AW27" s="114" t="s">
        <v>2111</v>
      </c>
      <c r="AX27" s="116" t="s">
        <v>2112</v>
      </c>
      <c r="AY27" s="113" t="s">
        <v>2113</v>
      </c>
      <c r="AZ27" s="114" t="s">
        <v>2114</v>
      </c>
      <c r="BA27" s="112" t="s">
        <v>2115</v>
      </c>
      <c r="BB27" s="113" t="s">
        <v>2116</v>
      </c>
      <c r="BC27" s="114" t="s">
        <v>2117</v>
      </c>
      <c r="BD27" s="117" t="s">
        <v>2118</v>
      </c>
      <c r="BE27" s="118" t="s">
        <v>2119</v>
      </c>
      <c r="BF27" s="115" t="s">
        <v>2120</v>
      </c>
      <c r="BG27" s="117" t="s">
        <v>2121</v>
      </c>
      <c r="BH27" s="118" t="s">
        <v>2122</v>
      </c>
      <c r="BI27" s="115" t="s">
        <v>2123</v>
      </c>
      <c r="BJ27" s="117" t="s">
        <v>2124</v>
      </c>
      <c r="BK27" s="118" t="s">
        <v>2125</v>
      </c>
      <c r="BL27" s="115" t="s">
        <v>2126</v>
      </c>
      <c r="BM27" s="117" t="s">
        <v>2127</v>
      </c>
      <c r="BN27" s="118" t="s">
        <v>2128</v>
      </c>
      <c r="BO27" s="115" t="s">
        <v>2129</v>
      </c>
      <c r="BP27" s="117" t="s">
        <v>2130</v>
      </c>
      <c r="BQ27" s="118" t="s">
        <v>2131</v>
      </c>
      <c r="BR27" s="115" t="s">
        <v>2132</v>
      </c>
      <c r="BS27" s="112" t="s">
        <v>2133</v>
      </c>
      <c r="BT27" s="113" t="s">
        <v>2134</v>
      </c>
      <c r="BU27" s="114" t="s">
        <v>2135</v>
      </c>
      <c r="BV27" s="117" t="s">
        <v>2136</v>
      </c>
      <c r="BW27" s="118" t="s">
        <v>2137</v>
      </c>
      <c r="BX27" s="115" t="s">
        <v>2138</v>
      </c>
      <c r="BY27" s="117" t="s">
        <v>2139</v>
      </c>
      <c r="BZ27" s="113" t="s">
        <v>2140</v>
      </c>
      <c r="CA27" s="115" t="s">
        <v>2141</v>
      </c>
      <c r="CB27" s="117" t="s">
        <v>2142</v>
      </c>
      <c r="CC27" s="118" t="s">
        <v>2143</v>
      </c>
      <c r="CD27" s="115" t="s">
        <v>2144</v>
      </c>
      <c r="CE27" s="108" t="s">
        <v>10</v>
      </c>
    </row>
    <row r="28" spans="1:83" ht="15.75" customHeight="1" x14ac:dyDescent="0.3">
      <c r="A28" s="38">
        <v>26</v>
      </c>
      <c r="B28" s="112" t="s">
        <v>2145</v>
      </c>
      <c r="C28" s="113" t="s">
        <v>2146</v>
      </c>
      <c r="D28" s="114" t="s">
        <v>2147</v>
      </c>
      <c r="E28" s="112" t="s">
        <v>2148</v>
      </c>
      <c r="F28" s="113" t="s">
        <v>2149</v>
      </c>
      <c r="G28" s="114" t="s">
        <v>2150</v>
      </c>
      <c r="H28" s="112" t="s">
        <v>2151</v>
      </c>
      <c r="I28" s="113" t="s">
        <v>2152</v>
      </c>
      <c r="J28" s="114" t="s">
        <v>2153</v>
      </c>
      <c r="K28" s="112" t="s">
        <v>2154</v>
      </c>
      <c r="L28" s="113" t="s">
        <v>2155</v>
      </c>
      <c r="M28" s="114" t="s">
        <v>2156</v>
      </c>
      <c r="N28" s="112" t="s">
        <v>2157</v>
      </c>
      <c r="O28" s="113" t="s">
        <v>2158</v>
      </c>
      <c r="P28" s="114" t="s">
        <v>2159</v>
      </c>
      <c r="Q28" s="112" t="s">
        <v>2160</v>
      </c>
      <c r="R28" s="113" t="s">
        <v>2161</v>
      </c>
      <c r="S28" s="114" t="s">
        <v>2162</v>
      </c>
      <c r="T28" s="112" t="s">
        <v>2163</v>
      </c>
      <c r="U28" s="113" t="s">
        <v>2164</v>
      </c>
      <c r="V28" s="120" t="s">
        <v>2165</v>
      </c>
      <c r="W28" s="112" t="s">
        <v>2166</v>
      </c>
      <c r="X28" s="113" t="s">
        <v>2167</v>
      </c>
      <c r="Y28" s="114" t="s">
        <v>2168</v>
      </c>
      <c r="Z28" s="112" t="s">
        <v>2169</v>
      </c>
      <c r="AA28" s="113" t="s">
        <v>2170</v>
      </c>
      <c r="AB28" s="114" t="s">
        <v>2171</v>
      </c>
      <c r="AC28" s="112" t="s">
        <v>2172</v>
      </c>
      <c r="AD28" s="113" t="s">
        <v>2173</v>
      </c>
      <c r="AE28" s="114" t="s">
        <v>2174</v>
      </c>
      <c r="AF28" s="112" t="s">
        <v>2175</v>
      </c>
      <c r="AG28" s="113" t="s">
        <v>2176</v>
      </c>
      <c r="AH28" s="114" t="s">
        <v>2177</v>
      </c>
      <c r="AI28" s="112" t="s">
        <v>2178</v>
      </c>
      <c r="AJ28" s="113" t="s">
        <v>2179</v>
      </c>
      <c r="AK28" s="114" t="s">
        <v>2180</v>
      </c>
      <c r="AL28" s="116" t="s">
        <v>2181</v>
      </c>
      <c r="AM28" s="113" t="s">
        <v>2182</v>
      </c>
      <c r="AN28" s="114" t="s">
        <v>2183</v>
      </c>
      <c r="AO28" s="112" t="s">
        <v>2184</v>
      </c>
      <c r="AP28" s="113" t="s">
        <v>2185</v>
      </c>
      <c r="AQ28" s="114" t="s">
        <v>2186</v>
      </c>
      <c r="AR28" s="112" t="s">
        <v>2187</v>
      </c>
      <c r="AS28" s="113" t="s">
        <v>2188</v>
      </c>
      <c r="AT28" s="114" t="s">
        <v>2189</v>
      </c>
      <c r="AU28" s="112" t="s">
        <v>2190</v>
      </c>
      <c r="AV28" s="113" t="s">
        <v>2191</v>
      </c>
      <c r="AW28" s="114" t="s">
        <v>2192</v>
      </c>
      <c r="AX28" s="116" t="s">
        <v>2193</v>
      </c>
      <c r="AY28" s="113" t="s">
        <v>2194</v>
      </c>
      <c r="AZ28" s="114" t="s">
        <v>2195</v>
      </c>
      <c r="BA28" s="112" t="s">
        <v>2196</v>
      </c>
      <c r="BB28" s="113" t="s">
        <v>2197</v>
      </c>
      <c r="BC28" s="114" t="s">
        <v>2198</v>
      </c>
      <c r="BD28" s="117" t="s">
        <v>2199</v>
      </c>
      <c r="BE28" s="118" t="s">
        <v>2200</v>
      </c>
      <c r="BF28" s="115" t="s">
        <v>2201</v>
      </c>
      <c r="BG28" s="117" t="s">
        <v>2202</v>
      </c>
      <c r="BH28" s="118" t="s">
        <v>2203</v>
      </c>
      <c r="BI28" s="115" t="s">
        <v>2204</v>
      </c>
      <c r="BJ28" s="117" t="s">
        <v>2205</v>
      </c>
      <c r="BK28" s="118" t="s">
        <v>2206</v>
      </c>
      <c r="BL28" s="115" t="s">
        <v>2207</v>
      </c>
      <c r="BM28" s="117" t="s">
        <v>2208</v>
      </c>
      <c r="BN28" s="118" t="s">
        <v>2209</v>
      </c>
      <c r="BO28" s="115" t="s">
        <v>2210</v>
      </c>
      <c r="BP28" s="117" t="s">
        <v>2211</v>
      </c>
      <c r="BQ28" s="118" t="s">
        <v>2212</v>
      </c>
      <c r="BR28" s="115" t="s">
        <v>2213</v>
      </c>
      <c r="BS28" s="112" t="s">
        <v>2214</v>
      </c>
      <c r="BT28" s="113" t="s">
        <v>2215</v>
      </c>
      <c r="BU28" s="114" t="s">
        <v>2216</v>
      </c>
      <c r="BV28" s="117" t="s">
        <v>2217</v>
      </c>
      <c r="BW28" s="118" t="s">
        <v>2218</v>
      </c>
      <c r="BX28" s="115" t="s">
        <v>2219</v>
      </c>
      <c r="BY28" s="117" t="s">
        <v>2220</v>
      </c>
      <c r="BZ28" s="118" t="s">
        <v>2221</v>
      </c>
      <c r="CA28" s="115" t="s">
        <v>2222</v>
      </c>
      <c r="CB28" s="117" t="s">
        <v>2223</v>
      </c>
      <c r="CC28" s="118" t="s">
        <v>2224</v>
      </c>
      <c r="CD28" s="115" t="s">
        <v>2225</v>
      </c>
      <c r="CE28" s="108" t="s">
        <v>10</v>
      </c>
    </row>
    <row r="29" spans="1:83" ht="15.75" customHeight="1" x14ac:dyDescent="0.3">
      <c r="A29" s="38">
        <v>27</v>
      </c>
      <c r="B29" s="112" t="s">
        <v>2226</v>
      </c>
      <c r="C29" s="113" t="s">
        <v>2227</v>
      </c>
      <c r="D29" s="114" t="s">
        <v>2228</v>
      </c>
      <c r="E29" s="112" t="s">
        <v>2229</v>
      </c>
      <c r="F29" s="113" t="s">
        <v>2230</v>
      </c>
      <c r="G29" s="114" t="s">
        <v>2231</v>
      </c>
      <c r="H29" s="112" t="s">
        <v>2232</v>
      </c>
      <c r="I29" s="113" t="s">
        <v>2233</v>
      </c>
      <c r="J29" s="114" t="s">
        <v>2234</v>
      </c>
      <c r="K29" s="112" t="s">
        <v>2235</v>
      </c>
      <c r="L29" s="113" t="s">
        <v>2236</v>
      </c>
      <c r="M29" s="114" t="s">
        <v>2237</v>
      </c>
      <c r="N29" s="112" t="s">
        <v>2238</v>
      </c>
      <c r="O29" s="113" t="s">
        <v>2239</v>
      </c>
      <c r="P29" s="114" t="s">
        <v>2240</v>
      </c>
      <c r="Q29" s="112" t="s">
        <v>2241</v>
      </c>
      <c r="R29" s="113" t="s">
        <v>2242</v>
      </c>
      <c r="S29" s="114" t="s">
        <v>2243</v>
      </c>
      <c r="T29" s="112" t="s">
        <v>2244</v>
      </c>
      <c r="U29" s="113" t="s">
        <v>2245</v>
      </c>
      <c r="V29" s="115" t="s">
        <v>2246</v>
      </c>
      <c r="W29" s="112" t="s">
        <v>2247</v>
      </c>
      <c r="X29" s="113" t="s">
        <v>2248</v>
      </c>
      <c r="Y29" s="114" t="s">
        <v>2249</v>
      </c>
      <c r="Z29" s="112" t="s">
        <v>2250</v>
      </c>
      <c r="AA29" s="113" t="s">
        <v>2251</v>
      </c>
      <c r="AB29" s="114" t="s">
        <v>2252</v>
      </c>
      <c r="AC29" s="112" t="s">
        <v>2253</v>
      </c>
      <c r="AD29" s="113" t="s">
        <v>2254</v>
      </c>
      <c r="AE29" s="114" t="s">
        <v>2255</v>
      </c>
      <c r="AF29" s="112" t="s">
        <v>2256</v>
      </c>
      <c r="AG29" s="113" t="s">
        <v>2257</v>
      </c>
      <c r="AH29" s="114" t="s">
        <v>2258</v>
      </c>
      <c r="AI29" s="112" t="s">
        <v>2259</v>
      </c>
      <c r="AJ29" s="113" t="s">
        <v>2260</v>
      </c>
      <c r="AK29" s="114" t="s">
        <v>2261</v>
      </c>
      <c r="AL29" s="116" t="s">
        <v>2262</v>
      </c>
      <c r="AM29" s="113" t="s">
        <v>2263</v>
      </c>
      <c r="AN29" s="114" t="s">
        <v>2264</v>
      </c>
      <c r="AO29" s="112" t="s">
        <v>2265</v>
      </c>
      <c r="AP29" s="113" t="s">
        <v>2266</v>
      </c>
      <c r="AQ29" s="114" t="s">
        <v>2267</v>
      </c>
      <c r="AR29" s="112" t="s">
        <v>2268</v>
      </c>
      <c r="AS29" s="113" t="s">
        <v>2269</v>
      </c>
      <c r="AT29" s="114" t="s">
        <v>2270</v>
      </c>
      <c r="AU29" s="112" t="s">
        <v>2271</v>
      </c>
      <c r="AV29" s="113" t="s">
        <v>2272</v>
      </c>
      <c r="AW29" s="114" t="s">
        <v>2273</v>
      </c>
      <c r="AX29" s="116" t="s">
        <v>2274</v>
      </c>
      <c r="AY29" s="113" t="s">
        <v>2275</v>
      </c>
      <c r="AZ29" s="114" t="s">
        <v>2276</v>
      </c>
      <c r="BA29" s="112" t="s">
        <v>2277</v>
      </c>
      <c r="BB29" s="113" t="s">
        <v>2278</v>
      </c>
      <c r="BC29" s="114" t="s">
        <v>2279</v>
      </c>
      <c r="BD29" s="117" t="s">
        <v>2280</v>
      </c>
      <c r="BE29" s="118" t="s">
        <v>2281</v>
      </c>
      <c r="BF29" s="115" t="s">
        <v>2282</v>
      </c>
      <c r="BG29" s="117" t="s">
        <v>2283</v>
      </c>
      <c r="BH29" s="118" t="s">
        <v>2284</v>
      </c>
      <c r="BI29" s="115" t="s">
        <v>2285</v>
      </c>
      <c r="BJ29" s="117" t="s">
        <v>2286</v>
      </c>
      <c r="BK29" s="118" t="s">
        <v>2287</v>
      </c>
      <c r="BL29" s="115" t="s">
        <v>2288</v>
      </c>
      <c r="BM29" s="117" t="s">
        <v>2289</v>
      </c>
      <c r="BN29" s="118" t="s">
        <v>2290</v>
      </c>
      <c r="BO29" s="115" t="s">
        <v>2291</v>
      </c>
      <c r="BP29" s="117" t="s">
        <v>2292</v>
      </c>
      <c r="BQ29" s="118" t="s">
        <v>2293</v>
      </c>
      <c r="BR29" s="115" t="s">
        <v>2294</v>
      </c>
      <c r="BS29" s="112" t="s">
        <v>2295</v>
      </c>
      <c r="BT29" s="113" t="s">
        <v>2296</v>
      </c>
      <c r="BU29" s="114" t="s">
        <v>2297</v>
      </c>
      <c r="BV29" s="117" t="s">
        <v>2298</v>
      </c>
      <c r="BW29" s="118" t="s">
        <v>2299</v>
      </c>
      <c r="BX29" s="115" t="s">
        <v>2300</v>
      </c>
      <c r="BY29" s="117" t="s">
        <v>2301</v>
      </c>
      <c r="BZ29" s="113" t="s">
        <v>2302</v>
      </c>
      <c r="CA29" s="115" t="s">
        <v>2303</v>
      </c>
      <c r="CB29" s="117" t="s">
        <v>2304</v>
      </c>
      <c r="CC29" s="118" t="s">
        <v>2305</v>
      </c>
      <c r="CD29" s="115" t="s">
        <v>2306</v>
      </c>
      <c r="CE29" s="108" t="s">
        <v>10</v>
      </c>
    </row>
    <row r="30" spans="1:83" ht="15.75" customHeight="1" x14ac:dyDescent="0.3">
      <c r="A30" s="38">
        <v>28</v>
      </c>
      <c r="B30" s="112" t="s">
        <v>2307</v>
      </c>
      <c r="C30" s="113" t="s">
        <v>2308</v>
      </c>
      <c r="D30" s="114" t="s">
        <v>2309</v>
      </c>
      <c r="E30" s="112" t="s">
        <v>2310</v>
      </c>
      <c r="F30" s="113" t="s">
        <v>2311</v>
      </c>
      <c r="G30" s="114" t="s">
        <v>2312</v>
      </c>
      <c r="H30" s="112" t="s">
        <v>2313</v>
      </c>
      <c r="I30" s="113" t="s">
        <v>2314</v>
      </c>
      <c r="J30" s="114" t="s">
        <v>2315</v>
      </c>
      <c r="K30" s="112" t="s">
        <v>2316</v>
      </c>
      <c r="L30" s="113" t="s">
        <v>2317</v>
      </c>
      <c r="M30" s="114" t="s">
        <v>2318</v>
      </c>
      <c r="N30" s="112" t="s">
        <v>2319</v>
      </c>
      <c r="O30" s="113" t="s">
        <v>2320</v>
      </c>
      <c r="P30" s="114" t="s">
        <v>2321</v>
      </c>
      <c r="Q30" s="112" t="s">
        <v>2322</v>
      </c>
      <c r="R30" s="113" t="s">
        <v>2323</v>
      </c>
      <c r="S30" s="114" t="s">
        <v>2324</v>
      </c>
      <c r="T30" s="112" t="s">
        <v>2325</v>
      </c>
      <c r="U30" s="113" t="s">
        <v>2326</v>
      </c>
      <c r="V30" s="115" t="s">
        <v>2327</v>
      </c>
      <c r="W30" s="112" t="s">
        <v>2328</v>
      </c>
      <c r="X30" s="113" t="s">
        <v>2329</v>
      </c>
      <c r="Y30" s="114" t="s">
        <v>2330</v>
      </c>
      <c r="Z30" s="112" t="s">
        <v>2331</v>
      </c>
      <c r="AA30" s="113" t="s">
        <v>2332</v>
      </c>
      <c r="AB30" s="114" t="s">
        <v>2333</v>
      </c>
      <c r="AC30" s="112" t="s">
        <v>2334</v>
      </c>
      <c r="AD30" s="113" t="s">
        <v>2335</v>
      </c>
      <c r="AE30" s="114" t="s">
        <v>2336</v>
      </c>
      <c r="AF30" s="112" t="s">
        <v>2337</v>
      </c>
      <c r="AG30" s="113" t="s">
        <v>2338</v>
      </c>
      <c r="AH30" s="114" t="s">
        <v>2339</v>
      </c>
      <c r="AI30" s="112" t="s">
        <v>2340</v>
      </c>
      <c r="AJ30" s="113" t="s">
        <v>2341</v>
      </c>
      <c r="AK30" s="114" t="s">
        <v>2342</v>
      </c>
      <c r="AL30" s="116" t="s">
        <v>2343</v>
      </c>
      <c r="AM30" s="113" t="s">
        <v>2344</v>
      </c>
      <c r="AN30" s="114" t="s">
        <v>2345</v>
      </c>
      <c r="AO30" s="112" t="s">
        <v>2346</v>
      </c>
      <c r="AP30" s="113" t="s">
        <v>2347</v>
      </c>
      <c r="AQ30" s="114" t="s">
        <v>2348</v>
      </c>
      <c r="AR30" s="112" t="s">
        <v>2349</v>
      </c>
      <c r="AS30" s="113" t="s">
        <v>2350</v>
      </c>
      <c r="AT30" s="114" t="s">
        <v>2351</v>
      </c>
      <c r="AU30" s="112" t="s">
        <v>2352</v>
      </c>
      <c r="AV30" s="113" t="s">
        <v>2353</v>
      </c>
      <c r="AW30" s="114" t="s">
        <v>2354</v>
      </c>
      <c r="AX30" s="116" t="s">
        <v>2355</v>
      </c>
      <c r="AY30" s="113" t="s">
        <v>2356</v>
      </c>
      <c r="AZ30" s="114" t="s">
        <v>2357</v>
      </c>
      <c r="BA30" s="112" t="s">
        <v>2358</v>
      </c>
      <c r="BB30" s="113" t="s">
        <v>2359</v>
      </c>
      <c r="BC30" s="114" t="s">
        <v>2360</v>
      </c>
      <c r="BD30" s="117" t="s">
        <v>2361</v>
      </c>
      <c r="BE30" s="118" t="s">
        <v>2362</v>
      </c>
      <c r="BF30" s="115" t="s">
        <v>2363</v>
      </c>
      <c r="BG30" s="117" t="s">
        <v>2364</v>
      </c>
      <c r="BH30" s="118" t="s">
        <v>2365</v>
      </c>
      <c r="BI30" s="115" t="s">
        <v>2366</v>
      </c>
      <c r="BJ30" s="117" t="s">
        <v>2367</v>
      </c>
      <c r="BK30" s="118" t="s">
        <v>2368</v>
      </c>
      <c r="BL30" s="115" t="s">
        <v>2369</v>
      </c>
      <c r="BM30" s="117" t="s">
        <v>2370</v>
      </c>
      <c r="BN30" s="118" t="s">
        <v>2371</v>
      </c>
      <c r="BO30" s="115" t="s">
        <v>2372</v>
      </c>
      <c r="BP30" s="117" t="s">
        <v>2373</v>
      </c>
      <c r="BQ30" s="118" t="s">
        <v>2374</v>
      </c>
      <c r="BR30" s="115" t="s">
        <v>2375</v>
      </c>
      <c r="BS30" s="112" t="s">
        <v>2376</v>
      </c>
      <c r="BT30" s="113" t="s">
        <v>2377</v>
      </c>
      <c r="BU30" s="114" t="s">
        <v>2378</v>
      </c>
      <c r="BV30" s="117" t="s">
        <v>2379</v>
      </c>
      <c r="BW30" s="118" t="s">
        <v>2380</v>
      </c>
      <c r="BX30" s="115" t="s">
        <v>2381</v>
      </c>
      <c r="BY30" s="117" t="s">
        <v>2382</v>
      </c>
      <c r="BZ30" s="118" t="s">
        <v>2383</v>
      </c>
      <c r="CA30" s="115" t="s">
        <v>2384</v>
      </c>
      <c r="CB30" s="117" t="s">
        <v>2385</v>
      </c>
      <c r="CC30" s="118" t="s">
        <v>2386</v>
      </c>
      <c r="CD30" s="115" t="s">
        <v>2387</v>
      </c>
      <c r="CE30" s="108" t="s">
        <v>10</v>
      </c>
    </row>
    <row r="31" spans="1:83" ht="15.75" customHeight="1" x14ac:dyDescent="0.3">
      <c r="A31" s="38">
        <v>29</v>
      </c>
      <c r="B31" s="112" t="s">
        <v>2388</v>
      </c>
      <c r="C31" s="113" t="s">
        <v>2389</v>
      </c>
      <c r="D31" s="114" t="s">
        <v>2390</v>
      </c>
      <c r="E31" s="112" t="s">
        <v>2391</v>
      </c>
      <c r="F31" s="113" t="s">
        <v>2392</v>
      </c>
      <c r="G31" s="114" t="s">
        <v>2393</v>
      </c>
      <c r="H31" s="112" t="s">
        <v>2394</v>
      </c>
      <c r="I31" s="113" t="s">
        <v>2395</v>
      </c>
      <c r="J31" s="114" t="s">
        <v>2396</v>
      </c>
      <c r="K31" s="112" t="s">
        <v>2397</v>
      </c>
      <c r="L31" s="113" t="s">
        <v>2398</v>
      </c>
      <c r="M31" s="114" t="s">
        <v>2399</v>
      </c>
      <c r="N31" s="112" t="s">
        <v>2400</v>
      </c>
      <c r="O31" s="113" t="s">
        <v>2401</v>
      </c>
      <c r="P31" s="114" t="s">
        <v>2402</v>
      </c>
      <c r="Q31" s="112" t="s">
        <v>2403</v>
      </c>
      <c r="R31" s="113" t="s">
        <v>2404</v>
      </c>
      <c r="S31" s="114" t="s">
        <v>2405</v>
      </c>
      <c r="T31" s="112" t="s">
        <v>2406</v>
      </c>
      <c r="U31" s="113" t="s">
        <v>2407</v>
      </c>
      <c r="V31" s="115" t="s">
        <v>2408</v>
      </c>
      <c r="W31" s="112" t="s">
        <v>2409</v>
      </c>
      <c r="X31" s="113" t="s">
        <v>2410</v>
      </c>
      <c r="Y31" s="114" t="s">
        <v>2411</v>
      </c>
      <c r="Z31" s="112" t="s">
        <v>2412</v>
      </c>
      <c r="AA31" s="113" t="s">
        <v>2413</v>
      </c>
      <c r="AB31" s="114" t="s">
        <v>2414</v>
      </c>
      <c r="AC31" s="112" t="s">
        <v>2415</v>
      </c>
      <c r="AD31" s="113" t="s">
        <v>2416</v>
      </c>
      <c r="AE31" s="114" t="s">
        <v>2417</v>
      </c>
      <c r="AF31" s="112" t="s">
        <v>2418</v>
      </c>
      <c r="AG31" s="113" t="s">
        <v>2419</v>
      </c>
      <c r="AH31" s="114" t="s">
        <v>2420</v>
      </c>
      <c r="AI31" s="112" t="s">
        <v>2421</v>
      </c>
      <c r="AJ31" s="113" t="s">
        <v>2422</v>
      </c>
      <c r="AK31" s="114" t="s">
        <v>2423</v>
      </c>
      <c r="AL31" s="116" t="s">
        <v>2424</v>
      </c>
      <c r="AM31" s="113" t="s">
        <v>2425</v>
      </c>
      <c r="AN31" s="114" t="s">
        <v>2426</v>
      </c>
      <c r="AO31" s="112" t="s">
        <v>2427</v>
      </c>
      <c r="AP31" s="113" t="s">
        <v>2428</v>
      </c>
      <c r="AQ31" s="114" t="s">
        <v>2429</v>
      </c>
      <c r="AR31" s="112" t="s">
        <v>2430</v>
      </c>
      <c r="AS31" s="113" t="s">
        <v>2431</v>
      </c>
      <c r="AT31" s="114" t="s">
        <v>2432</v>
      </c>
      <c r="AU31" s="112" t="s">
        <v>2433</v>
      </c>
      <c r="AV31" s="113" t="s">
        <v>2434</v>
      </c>
      <c r="AW31" s="114" t="s">
        <v>2435</v>
      </c>
      <c r="AX31" s="116" t="s">
        <v>2436</v>
      </c>
      <c r="AY31" s="113" t="s">
        <v>2437</v>
      </c>
      <c r="AZ31" s="114" t="s">
        <v>2438</v>
      </c>
      <c r="BA31" s="112" t="s">
        <v>2439</v>
      </c>
      <c r="BB31" s="113" t="s">
        <v>2440</v>
      </c>
      <c r="BC31" s="114" t="s">
        <v>2441</v>
      </c>
      <c r="BD31" s="117" t="s">
        <v>2442</v>
      </c>
      <c r="BE31" s="118" t="s">
        <v>2443</v>
      </c>
      <c r="BF31" s="115" t="s">
        <v>2444</v>
      </c>
      <c r="BG31" s="117" t="s">
        <v>2445</v>
      </c>
      <c r="BH31" s="118" t="s">
        <v>2446</v>
      </c>
      <c r="BI31" s="115" t="s">
        <v>2447</v>
      </c>
      <c r="BJ31" s="117" t="s">
        <v>2448</v>
      </c>
      <c r="BK31" s="118" t="s">
        <v>2449</v>
      </c>
      <c r="BL31" s="115" t="s">
        <v>2450</v>
      </c>
      <c r="BM31" s="117" t="s">
        <v>2451</v>
      </c>
      <c r="BN31" s="118" t="s">
        <v>2452</v>
      </c>
      <c r="BO31" s="115" t="s">
        <v>2453</v>
      </c>
      <c r="BP31" s="117" t="s">
        <v>2454</v>
      </c>
      <c r="BQ31" s="118" t="s">
        <v>2455</v>
      </c>
      <c r="BR31" s="115" t="s">
        <v>2456</v>
      </c>
      <c r="BS31" s="112" t="s">
        <v>2457</v>
      </c>
      <c r="BT31" s="113" t="s">
        <v>2458</v>
      </c>
      <c r="BU31" s="114" t="s">
        <v>2459</v>
      </c>
      <c r="BV31" s="117" t="s">
        <v>2460</v>
      </c>
      <c r="BW31" s="118" t="s">
        <v>2461</v>
      </c>
      <c r="BX31" s="115" t="s">
        <v>2462</v>
      </c>
      <c r="BY31" s="117" t="s">
        <v>2463</v>
      </c>
      <c r="BZ31" s="113" t="s">
        <v>2464</v>
      </c>
      <c r="CA31" s="115" t="s">
        <v>2465</v>
      </c>
      <c r="CB31" s="117" t="s">
        <v>2466</v>
      </c>
      <c r="CC31" s="118" t="s">
        <v>2467</v>
      </c>
      <c r="CD31" s="115" t="s">
        <v>2468</v>
      </c>
      <c r="CE31" s="108" t="s">
        <v>10</v>
      </c>
    </row>
    <row r="32" spans="1:83" ht="15.75" customHeight="1" x14ac:dyDescent="0.3">
      <c r="A32" s="38">
        <v>30</v>
      </c>
      <c r="B32" s="112" t="s">
        <v>2469</v>
      </c>
      <c r="C32" s="113" t="s">
        <v>2470</v>
      </c>
      <c r="D32" s="114" t="s">
        <v>2471</v>
      </c>
      <c r="E32" s="112" t="s">
        <v>2472</v>
      </c>
      <c r="F32" s="113" t="s">
        <v>2473</v>
      </c>
      <c r="G32" s="114" t="s">
        <v>2474</v>
      </c>
      <c r="H32" s="112" t="s">
        <v>2475</v>
      </c>
      <c r="I32" s="113" t="s">
        <v>2476</v>
      </c>
      <c r="J32" s="114" t="s">
        <v>2477</v>
      </c>
      <c r="K32" s="112" t="s">
        <v>2478</v>
      </c>
      <c r="L32" s="113" t="s">
        <v>2479</v>
      </c>
      <c r="M32" s="114" t="s">
        <v>2480</v>
      </c>
      <c r="N32" s="112" t="s">
        <v>2481</v>
      </c>
      <c r="O32" s="113" t="s">
        <v>2482</v>
      </c>
      <c r="P32" s="114" t="s">
        <v>2483</v>
      </c>
      <c r="Q32" s="112" t="s">
        <v>2484</v>
      </c>
      <c r="R32" s="113" t="s">
        <v>2485</v>
      </c>
      <c r="S32" s="114" t="s">
        <v>2486</v>
      </c>
      <c r="T32" s="112" t="s">
        <v>2487</v>
      </c>
      <c r="U32" s="113" t="s">
        <v>2488</v>
      </c>
      <c r="V32" s="115" t="s">
        <v>2489</v>
      </c>
      <c r="W32" s="112" t="s">
        <v>2490</v>
      </c>
      <c r="X32" s="113" t="s">
        <v>2491</v>
      </c>
      <c r="Y32" s="114" t="s">
        <v>2492</v>
      </c>
      <c r="Z32" s="112" t="s">
        <v>2493</v>
      </c>
      <c r="AA32" s="113" t="s">
        <v>2494</v>
      </c>
      <c r="AB32" s="114" t="s">
        <v>2495</v>
      </c>
      <c r="AC32" s="112" t="s">
        <v>2496</v>
      </c>
      <c r="AD32" s="113" t="s">
        <v>2497</v>
      </c>
      <c r="AE32" s="114" t="s">
        <v>2498</v>
      </c>
      <c r="AF32" s="112" t="s">
        <v>2499</v>
      </c>
      <c r="AG32" s="113" t="s">
        <v>2500</v>
      </c>
      <c r="AH32" s="114" t="s">
        <v>2501</v>
      </c>
      <c r="AI32" s="112" t="s">
        <v>2502</v>
      </c>
      <c r="AJ32" s="113" t="s">
        <v>2503</v>
      </c>
      <c r="AK32" s="114" t="s">
        <v>2504</v>
      </c>
      <c r="AL32" s="116" t="s">
        <v>2505</v>
      </c>
      <c r="AM32" s="113" t="s">
        <v>2506</v>
      </c>
      <c r="AN32" s="114" t="s">
        <v>2507</v>
      </c>
      <c r="AO32" s="112" t="s">
        <v>2508</v>
      </c>
      <c r="AP32" s="113" t="s">
        <v>2509</v>
      </c>
      <c r="AQ32" s="114" t="s">
        <v>2510</v>
      </c>
      <c r="AR32" s="112" t="s">
        <v>2511</v>
      </c>
      <c r="AS32" s="113" t="s">
        <v>2512</v>
      </c>
      <c r="AT32" s="114" t="s">
        <v>2513</v>
      </c>
      <c r="AU32" s="112" t="s">
        <v>2514</v>
      </c>
      <c r="AV32" s="113" t="s">
        <v>2515</v>
      </c>
      <c r="AW32" s="114" t="s">
        <v>2516</v>
      </c>
      <c r="AX32" s="116" t="s">
        <v>2517</v>
      </c>
      <c r="AY32" s="113" t="s">
        <v>2518</v>
      </c>
      <c r="AZ32" s="114" t="s">
        <v>2519</v>
      </c>
      <c r="BA32" s="112" t="s">
        <v>2520</v>
      </c>
      <c r="BB32" s="113" t="s">
        <v>2521</v>
      </c>
      <c r="BC32" s="114" t="s">
        <v>2522</v>
      </c>
      <c r="BD32" s="117" t="s">
        <v>2523</v>
      </c>
      <c r="BE32" s="118" t="s">
        <v>2524</v>
      </c>
      <c r="BF32" s="115" t="s">
        <v>2525</v>
      </c>
      <c r="BG32" s="117" t="s">
        <v>2526</v>
      </c>
      <c r="BH32" s="118" t="s">
        <v>2527</v>
      </c>
      <c r="BI32" s="115" t="s">
        <v>2528</v>
      </c>
      <c r="BJ32" s="117" t="s">
        <v>2529</v>
      </c>
      <c r="BK32" s="118" t="s">
        <v>2530</v>
      </c>
      <c r="BL32" s="115" t="s">
        <v>2531</v>
      </c>
      <c r="BM32" s="117" t="s">
        <v>2532</v>
      </c>
      <c r="BN32" s="118" t="s">
        <v>2533</v>
      </c>
      <c r="BO32" s="115" t="s">
        <v>2534</v>
      </c>
      <c r="BP32" s="117" t="s">
        <v>2535</v>
      </c>
      <c r="BQ32" s="118" t="s">
        <v>2536</v>
      </c>
      <c r="BR32" s="115" t="s">
        <v>2537</v>
      </c>
      <c r="BS32" s="112" t="s">
        <v>2538</v>
      </c>
      <c r="BT32" s="113" t="s">
        <v>2539</v>
      </c>
      <c r="BU32" s="114" t="s">
        <v>2540</v>
      </c>
      <c r="BV32" s="117" t="s">
        <v>2541</v>
      </c>
      <c r="BW32" s="118" t="s">
        <v>2542</v>
      </c>
      <c r="BX32" s="115" t="s">
        <v>2543</v>
      </c>
      <c r="BY32" s="117" t="s">
        <v>2544</v>
      </c>
      <c r="BZ32" s="118" t="s">
        <v>2545</v>
      </c>
      <c r="CA32" s="115" t="s">
        <v>2546</v>
      </c>
      <c r="CB32" s="117" t="s">
        <v>2547</v>
      </c>
      <c r="CC32" s="118" t="s">
        <v>2548</v>
      </c>
      <c r="CD32" s="115" t="s">
        <v>2549</v>
      </c>
      <c r="CE32" s="108" t="s">
        <v>10</v>
      </c>
    </row>
    <row r="33" spans="1:83" ht="15.75" customHeight="1" x14ac:dyDescent="0.3">
      <c r="A33" s="38">
        <v>31</v>
      </c>
      <c r="B33" s="112" t="s">
        <v>2550</v>
      </c>
      <c r="C33" s="113" t="s">
        <v>2551</v>
      </c>
      <c r="D33" s="114" t="s">
        <v>2552</v>
      </c>
      <c r="E33" s="112" t="s">
        <v>2553</v>
      </c>
      <c r="F33" s="113" t="s">
        <v>2554</v>
      </c>
      <c r="G33" s="114" t="s">
        <v>2555</v>
      </c>
      <c r="H33" s="112" t="s">
        <v>2556</v>
      </c>
      <c r="I33" s="113" t="s">
        <v>2557</v>
      </c>
      <c r="J33" s="114" t="s">
        <v>2558</v>
      </c>
      <c r="K33" s="112" t="s">
        <v>2559</v>
      </c>
      <c r="L33" s="113" t="s">
        <v>2560</v>
      </c>
      <c r="M33" s="114" t="s">
        <v>2561</v>
      </c>
      <c r="N33" s="112" t="s">
        <v>2562</v>
      </c>
      <c r="O33" s="113" t="s">
        <v>2563</v>
      </c>
      <c r="P33" s="114" t="s">
        <v>2564</v>
      </c>
      <c r="Q33" s="112" t="s">
        <v>2565</v>
      </c>
      <c r="R33" s="113" t="s">
        <v>2566</v>
      </c>
      <c r="S33" s="114" t="s">
        <v>2567</v>
      </c>
      <c r="T33" s="112" t="s">
        <v>2568</v>
      </c>
      <c r="U33" s="113" t="s">
        <v>2569</v>
      </c>
      <c r="V33" s="115" t="s">
        <v>2570</v>
      </c>
      <c r="W33" s="112" t="s">
        <v>2571</v>
      </c>
      <c r="X33" s="113" t="s">
        <v>2572</v>
      </c>
      <c r="Y33" s="114" t="s">
        <v>2573</v>
      </c>
      <c r="Z33" s="112" t="s">
        <v>2574</v>
      </c>
      <c r="AA33" s="113" t="s">
        <v>2575</v>
      </c>
      <c r="AB33" s="114" t="s">
        <v>2576</v>
      </c>
      <c r="AC33" s="112" t="s">
        <v>2577</v>
      </c>
      <c r="AD33" s="113" t="s">
        <v>2578</v>
      </c>
      <c r="AE33" s="114" t="s">
        <v>2579</v>
      </c>
      <c r="AF33" s="112" t="s">
        <v>2580</v>
      </c>
      <c r="AG33" s="113" t="s">
        <v>2581</v>
      </c>
      <c r="AH33" s="114" t="s">
        <v>2582</v>
      </c>
      <c r="AI33" s="112" t="s">
        <v>2583</v>
      </c>
      <c r="AJ33" s="113" t="s">
        <v>2584</v>
      </c>
      <c r="AK33" s="114" t="s">
        <v>2585</v>
      </c>
      <c r="AL33" s="116" t="s">
        <v>2586</v>
      </c>
      <c r="AM33" s="113" t="s">
        <v>2587</v>
      </c>
      <c r="AN33" s="114" t="s">
        <v>2588</v>
      </c>
      <c r="AO33" s="112" t="s">
        <v>2589</v>
      </c>
      <c r="AP33" s="113" t="s">
        <v>2590</v>
      </c>
      <c r="AQ33" s="114" t="s">
        <v>2591</v>
      </c>
      <c r="AR33" s="112" t="s">
        <v>2592</v>
      </c>
      <c r="AS33" s="113" t="s">
        <v>2593</v>
      </c>
      <c r="AT33" s="114" t="s">
        <v>2594</v>
      </c>
      <c r="AU33" s="112" t="s">
        <v>2595</v>
      </c>
      <c r="AV33" s="113" t="s">
        <v>2596</v>
      </c>
      <c r="AW33" s="114" t="s">
        <v>2597</v>
      </c>
      <c r="AX33" s="116" t="s">
        <v>2598</v>
      </c>
      <c r="AY33" s="113" t="s">
        <v>2599</v>
      </c>
      <c r="AZ33" s="114" t="s">
        <v>2600</v>
      </c>
      <c r="BA33" s="112" t="s">
        <v>2601</v>
      </c>
      <c r="BB33" s="113" t="s">
        <v>2602</v>
      </c>
      <c r="BC33" s="114" t="s">
        <v>2603</v>
      </c>
      <c r="BD33" s="117" t="s">
        <v>2604</v>
      </c>
      <c r="BE33" s="118" t="s">
        <v>2605</v>
      </c>
      <c r="BF33" s="115" t="s">
        <v>2606</v>
      </c>
      <c r="BG33" s="117" t="s">
        <v>2607</v>
      </c>
      <c r="BH33" s="118" t="s">
        <v>2608</v>
      </c>
      <c r="BI33" s="115" t="s">
        <v>2609</v>
      </c>
      <c r="BJ33" s="117" t="s">
        <v>2610</v>
      </c>
      <c r="BK33" s="118" t="s">
        <v>2611</v>
      </c>
      <c r="BL33" s="115" t="s">
        <v>2612</v>
      </c>
      <c r="BM33" s="117" t="s">
        <v>2613</v>
      </c>
      <c r="BN33" s="118" t="s">
        <v>2614</v>
      </c>
      <c r="BO33" s="115" t="s">
        <v>2615</v>
      </c>
      <c r="BP33" s="117" t="s">
        <v>2616</v>
      </c>
      <c r="BQ33" s="118" t="s">
        <v>2617</v>
      </c>
      <c r="BR33" s="115" t="s">
        <v>2618</v>
      </c>
      <c r="BS33" s="112" t="s">
        <v>2619</v>
      </c>
      <c r="BT33" s="113" t="s">
        <v>2620</v>
      </c>
      <c r="BU33" s="114" t="s">
        <v>2621</v>
      </c>
      <c r="BV33" s="117" t="s">
        <v>2622</v>
      </c>
      <c r="BW33" s="118" t="s">
        <v>2623</v>
      </c>
      <c r="BX33" s="115" t="s">
        <v>2624</v>
      </c>
      <c r="BY33" s="117" t="s">
        <v>2625</v>
      </c>
      <c r="BZ33" s="113" t="s">
        <v>2626</v>
      </c>
      <c r="CA33" s="115" t="s">
        <v>2627</v>
      </c>
      <c r="CB33" s="117" t="s">
        <v>2628</v>
      </c>
      <c r="CC33" s="118" t="s">
        <v>2629</v>
      </c>
      <c r="CD33" s="115" t="s">
        <v>2630</v>
      </c>
      <c r="CE33" s="108" t="s">
        <v>10</v>
      </c>
    </row>
    <row r="34" spans="1:83" ht="15.75" customHeight="1" x14ac:dyDescent="0.3">
      <c r="A34" s="38">
        <v>32</v>
      </c>
      <c r="B34" s="112" t="s">
        <v>2631</v>
      </c>
      <c r="C34" s="113" t="s">
        <v>2632</v>
      </c>
      <c r="D34" s="114" t="s">
        <v>2633</v>
      </c>
      <c r="E34" s="112" t="s">
        <v>2634</v>
      </c>
      <c r="F34" s="113" t="s">
        <v>2635</v>
      </c>
      <c r="G34" s="114" t="s">
        <v>2636</v>
      </c>
      <c r="H34" s="112" t="s">
        <v>2637</v>
      </c>
      <c r="I34" s="113" t="s">
        <v>2638</v>
      </c>
      <c r="J34" s="114" t="s">
        <v>2639</v>
      </c>
      <c r="K34" s="112" t="s">
        <v>2640</v>
      </c>
      <c r="L34" s="113" t="s">
        <v>2641</v>
      </c>
      <c r="M34" s="114" t="s">
        <v>2642</v>
      </c>
      <c r="N34" s="112" t="s">
        <v>2643</v>
      </c>
      <c r="O34" s="113" t="s">
        <v>2644</v>
      </c>
      <c r="P34" s="114" t="s">
        <v>2645</v>
      </c>
      <c r="Q34" s="112" t="s">
        <v>2646</v>
      </c>
      <c r="R34" s="113" t="s">
        <v>2647</v>
      </c>
      <c r="S34" s="114" t="s">
        <v>2648</v>
      </c>
      <c r="T34" s="112" t="s">
        <v>2649</v>
      </c>
      <c r="U34" s="113" t="s">
        <v>2650</v>
      </c>
      <c r="V34" s="115" t="s">
        <v>2651</v>
      </c>
      <c r="W34" s="112" t="s">
        <v>2652</v>
      </c>
      <c r="X34" s="113" t="s">
        <v>2653</v>
      </c>
      <c r="Y34" s="114" t="s">
        <v>2654</v>
      </c>
      <c r="Z34" s="112" t="s">
        <v>2655</v>
      </c>
      <c r="AA34" s="113" t="s">
        <v>2656</v>
      </c>
      <c r="AB34" s="114" t="s">
        <v>2657</v>
      </c>
      <c r="AC34" s="112" t="s">
        <v>2658</v>
      </c>
      <c r="AD34" s="113" t="s">
        <v>2659</v>
      </c>
      <c r="AE34" s="114" t="s">
        <v>2660</v>
      </c>
      <c r="AF34" s="112" t="s">
        <v>2661</v>
      </c>
      <c r="AG34" s="113" t="s">
        <v>2662</v>
      </c>
      <c r="AH34" s="114" t="s">
        <v>2663</v>
      </c>
      <c r="AI34" s="112" t="s">
        <v>2664</v>
      </c>
      <c r="AJ34" s="113" t="s">
        <v>2665</v>
      </c>
      <c r="AK34" s="114" t="s">
        <v>2666</v>
      </c>
      <c r="AL34" s="116" t="s">
        <v>2667</v>
      </c>
      <c r="AM34" s="113" t="s">
        <v>2668</v>
      </c>
      <c r="AN34" s="114" t="s">
        <v>2669</v>
      </c>
      <c r="AO34" s="112" t="s">
        <v>2670</v>
      </c>
      <c r="AP34" s="113" t="s">
        <v>2671</v>
      </c>
      <c r="AQ34" s="114" t="s">
        <v>2672</v>
      </c>
      <c r="AR34" s="112" t="s">
        <v>2673</v>
      </c>
      <c r="AS34" s="113" t="s">
        <v>2674</v>
      </c>
      <c r="AT34" s="114" t="s">
        <v>2675</v>
      </c>
      <c r="AU34" s="112" t="s">
        <v>2676</v>
      </c>
      <c r="AV34" s="113" t="s">
        <v>2677</v>
      </c>
      <c r="AW34" s="114" t="s">
        <v>2678</v>
      </c>
      <c r="AX34" s="116" t="s">
        <v>2679</v>
      </c>
      <c r="AY34" s="113" t="s">
        <v>2680</v>
      </c>
      <c r="AZ34" s="114" t="s">
        <v>2681</v>
      </c>
      <c r="BA34" s="112" t="s">
        <v>2682</v>
      </c>
      <c r="BB34" s="113" t="s">
        <v>2683</v>
      </c>
      <c r="BC34" s="114" t="s">
        <v>2684</v>
      </c>
      <c r="BD34" s="117" t="s">
        <v>2685</v>
      </c>
      <c r="BE34" s="118" t="s">
        <v>2686</v>
      </c>
      <c r="BF34" s="115" t="s">
        <v>2687</v>
      </c>
      <c r="BG34" s="117" t="s">
        <v>2688</v>
      </c>
      <c r="BH34" s="118" t="s">
        <v>2689</v>
      </c>
      <c r="BI34" s="115" t="s">
        <v>2690</v>
      </c>
      <c r="BJ34" s="117" t="s">
        <v>2691</v>
      </c>
      <c r="BK34" s="118" t="s">
        <v>2692</v>
      </c>
      <c r="BL34" s="115" t="s">
        <v>2693</v>
      </c>
      <c r="BM34" s="117" t="s">
        <v>2694</v>
      </c>
      <c r="BN34" s="118" t="s">
        <v>2695</v>
      </c>
      <c r="BO34" s="115" t="s">
        <v>2696</v>
      </c>
      <c r="BP34" s="117" t="s">
        <v>2697</v>
      </c>
      <c r="BQ34" s="118" t="s">
        <v>2698</v>
      </c>
      <c r="BR34" s="115" t="s">
        <v>2699</v>
      </c>
      <c r="BS34" s="112" t="s">
        <v>2700</v>
      </c>
      <c r="BT34" s="113" t="s">
        <v>2701</v>
      </c>
      <c r="BU34" s="114" t="s">
        <v>2702</v>
      </c>
      <c r="BV34" s="117" t="s">
        <v>2703</v>
      </c>
      <c r="BW34" s="118" t="s">
        <v>2704</v>
      </c>
      <c r="BX34" s="115" t="s">
        <v>2705</v>
      </c>
      <c r="BY34" s="117" t="s">
        <v>2706</v>
      </c>
      <c r="BZ34" s="118" t="s">
        <v>2707</v>
      </c>
      <c r="CA34" s="115" t="s">
        <v>2708</v>
      </c>
      <c r="CB34" s="117" t="s">
        <v>2709</v>
      </c>
      <c r="CC34" s="118" t="s">
        <v>2710</v>
      </c>
      <c r="CD34" s="115" t="s">
        <v>2711</v>
      </c>
      <c r="CE34" s="108" t="s">
        <v>10</v>
      </c>
    </row>
    <row r="35" spans="1:83" ht="15.75" customHeight="1" x14ac:dyDescent="0.3">
      <c r="A35" s="38">
        <v>33</v>
      </c>
      <c r="B35" s="112" t="s">
        <v>2712</v>
      </c>
      <c r="C35" s="113" t="s">
        <v>2713</v>
      </c>
      <c r="D35" s="114" t="s">
        <v>2714</v>
      </c>
      <c r="E35" s="112" t="s">
        <v>2715</v>
      </c>
      <c r="F35" s="113" t="s">
        <v>2716</v>
      </c>
      <c r="G35" s="114" t="s">
        <v>2717</v>
      </c>
      <c r="H35" s="112" t="s">
        <v>2718</v>
      </c>
      <c r="I35" s="113" t="s">
        <v>2719</v>
      </c>
      <c r="J35" s="114" t="s">
        <v>2720</v>
      </c>
      <c r="K35" s="112" t="s">
        <v>2721</v>
      </c>
      <c r="L35" s="113" t="s">
        <v>2722</v>
      </c>
      <c r="M35" s="114" t="s">
        <v>2723</v>
      </c>
      <c r="N35" s="112" t="s">
        <v>2724</v>
      </c>
      <c r="O35" s="113" t="s">
        <v>2725</v>
      </c>
      <c r="P35" s="114" t="s">
        <v>2726</v>
      </c>
      <c r="Q35" s="112" t="s">
        <v>2727</v>
      </c>
      <c r="R35" s="113" t="s">
        <v>2728</v>
      </c>
      <c r="S35" s="114" t="s">
        <v>2729</v>
      </c>
      <c r="T35" s="112" t="s">
        <v>2730</v>
      </c>
      <c r="U35" s="113" t="s">
        <v>2731</v>
      </c>
      <c r="V35" s="115" t="s">
        <v>2732</v>
      </c>
      <c r="W35" s="112" t="s">
        <v>2733</v>
      </c>
      <c r="X35" s="113" t="s">
        <v>2734</v>
      </c>
      <c r="Y35" s="114" t="s">
        <v>2735</v>
      </c>
      <c r="Z35" s="112" t="s">
        <v>2736</v>
      </c>
      <c r="AA35" s="113" t="s">
        <v>2737</v>
      </c>
      <c r="AB35" s="114" t="s">
        <v>2738</v>
      </c>
      <c r="AC35" s="112" t="s">
        <v>2739</v>
      </c>
      <c r="AD35" s="113" t="s">
        <v>2740</v>
      </c>
      <c r="AE35" s="114" t="s">
        <v>2741</v>
      </c>
      <c r="AF35" s="112" t="s">
        <v>2742</v>
      </c>
      <c r="AG35" s="113" t="s">
        <v>2743</v>
      </c>
      <c r="AH35" s="114" t="s">
        <v>2744</v>
      </c>
      <c r="AI35" s="112" t="s">
        <v>2745</v>
      </c>
      <c r="AJ35" s="113" t="s">
        <v>2746</v>
      </c>
      <c r="AK35" s="114" t="s">
        <v>2747</v>
      </c>
      <c r="AL35" s="116" t="s">
        <v>2748</v>
      </c>
      <c r="AM35" s="113" t="s">
        <v>2749</v>
      </c>
      <c r="AN35" s="114" t="s">
        <v>2750</v>
      </c>
      <c r="AO35" s="112" t="s">
        <v>2751</v>
      </c>
      <c r="AP35" s="113" t="s">
        <v>2752</v>
      </c>
      <c r="AQ35" s="114" t="s">
        <v>2753</v>
      </c>
      <c r="AR35" s="112" t="s">
        <v>2754</v>
      </c>
      <c r="AS35" s="113" t="s">
        <v>2755</v>
      </c>
      <c r="AT35" s="114" t="s">
        <v>2756</v>
      </c>
      <c r="AU35" s="112" t="s">
        <v>2757</v>
      </c>
      <c r="AV35" s="113" t="s">
        <v>2758</v>
      </c>
      <c r="AW35" s="114" t="s">
        <v>2759</v>
      </c>
      <c r="AX35" s="116" t="s">
        <v>2760</v>
      </c>
      <c r="AY35" s="113" t="s">
        <v>2761</v>
      </c>
      <c r="AZ35" s="114" t="s">
        <v>2762</v>
      </c>
      <c r="BA35" s="112" t="s">
        <v>2763</v>
      </c>
      <c r="BB35" s="113" t="s">
        <v>2764</v>
      </c>
      <c r="BC35" s="114" t="s">
        <v>2765</v>
      </c>
      <c r="BD35" s="117" t="s">
        <v>2766</v>
      </c>
      <c r="BE35" s="118" t="s">
        <v>2767</v>
      </c>
      <c r="BF35" s="115" t="s">
        <v>2768</v>
      </c>
      <c r="BG35" s="117" t="s">
        <v>2769</v>
      </c>
      <c r="BH35" s="118" t="s">
        <v>2770</v>
      </c>
      <c r="BI35" s="115" t="s">
        <v>2771</v>
      </c>
      <c r="BJ35" s="117" t="s">
        <v>2772</v>
      </c>
      <c r="BK35" s="118" t="s">
        <v>2773</v>
      </c>
      <c r="BL35" s="115" t="s">
        <v>2774</v>
      </c>
      <c r="BM35" s="117" t="s">
        <v>2775</v>
      </c>
      <c r="BN35" s="118" t="s">
        <v>2776</v>
      </c>
      <c r="BO35" s="115" t="s">
        <v>2777</v>
      </c>
      <c r="BP35" s="117" t="s">
        <v>2778</v>
      </c>
      <c r="BQ35" s="118" t="s">
        <v>2779</v>
      </c>
      <c r="BR35" s="115" t="s">
        <v>2780</v>
      </c>
      <c r="BS35" s="112" t="s">
        <v>2781</v>
      </c>
      <c r="BT35" s="113" t="s">
        <v>2782</v>
      </c>
      <c r="BU35" s="114" t="s">
        <v>2783</v>
      </c>
      <c r="BV35" s="117" t="s">
        <v>2784</v>
      </c>
      <c r="BW35" s="118" t="s">
        <v>2785</v>
      </c>
      <c r="BX35" s="115" t="s">
        <v>2786</v>
      </c>
      <c r="BY35" s="117" t="s">
        <v>2787</v>
      </c>
      <c r="BZ35" s="113" t="s">
        <v>2788</v>
      </c>
      <c r="CA35" s="115" t="s">
        <v>2789</v>
      </c>
      <c r="CB35" s="117" t="s">
        <v>2790</v>
      </c>
      <c r="CC35" s="118" t="s">
        <v>2791</v>
      </c>
      <c r="CD35" s="115" t="s">
        <v>2792</v>
      </c>
      <c r="CE35" s="108" t="s">
        <v>10</v>
      </c>
    </row>
    <row r="36" spans="1:83" ht="15.75" customHeight="1" x14ac:dyDescent="0.3">
      <c r="A36" s="38">
        <v>34</v>
      </c>
      <c r="B36" s="112" t="s">
        <v>2793</v>
      </c>
      <c r="C36" s="113" t="s">
        <v>2794</v>
      </c>
      <c r="D36" s="114" t="s">
        <v>2795</v>
      </c>
      <c r="E36" s="112" t="s">
        <v>2796</v>
      </c>
      <c r="F36" s="113" t="s">
        <v>2797</v>
      </c>
      <c r="G36" s="114" t="s">
        <v>2798</v>
      </c>
      <c r="H36" s="112" t="s">
        <v>2799</v>
      </c>
      <c r="I36" s="113" t="s">
        <v>2800</v>
      </c>
      <c r="J36" s="114" t="s">
        <v>2801</v>
      </c>
      <c r="K36" s="112" t="s">
        <v>2802</v>
      </c>
      <c r="L36" s="113" t="s">
        <v>2803</v>
      </c>
      <c r="M36" s="114" t="s">
        <v>2804</v>
      </c>
      <c r="N36" s="112" t="s">
        <v>2805</v>
      </c>
      <c r="O36" s="113" t="s">
        <v>2806</v>
      </c>
      <c r="P36" s="114" t="s">
        <v>2807</v>
      </c>
      <c r="Q36" s="112" t="s">
        <v>2808</v>
      </c>
      <c r="R36" s="113" t="s">
        <v>2809</v>
      </c>
      <c r="S36" s="114" t="s">
        <v>2810</v>
      </c>
      <c r="T36" s="112" t="s">
        <v>2811</v>
      </c>
      <c r="U36" s="113" t="s">
        <v>2812</v>
      </c>
      <c r="V36" s="115" t="s">
        <v>2813</v>
      </c>
      <c r="W36" s="112" t="s">
        <v>2814</v>
      </c>
      <c r="X36" s="113" t="s">
        <v>2815</v>
      </c>
      <c r="Y36" s="114" t="s">
        <v>2816</v>
      </c>
      <c r="Z36" s="112" t="s">
        <v>2817</v>
      </c>
      <c r="AA36" s="113" t="s">
        <v>2818</v>
      </c>
      <c r="AB36" s="114" t="s">
        <v>2819</v>
      </c>
      <c r="AC36" s="112" t="s">
        <v>2820</v>
      </c>
      <c r="AD36" s="113" t="s">
        <v>2821</v>
      </c>
      <c r="AE36" s="114" t="s">
        <v>2822</v>
      </c>
      <c r="AF36" s="112" t="s">
        <v>2823</v>
      </c>
      <c r="AG36" s="113" t="s">
        <v>2824</v>
      </c>
      <c r="AH36" s="114" t="s">
        <v>2825</v>
      </c>
      <c r="AI36" s="112" t="s">
        <v>2826</v>
      </c>
      <c r="AJ36" s="113" t="s">
        <v>2827</v>
      </c>
      <c r="AK36" s="114" t="s">
        <v>2828</v>
      </c>
      <c r="AL36" s="116" t="s">
        <v>2829</v>
      </c>
      <c r="AM36" s="113" t="s">
        <v>2830</v>
      </c>
      <c r="AN36" s="114" t="s">
        <v>2831</v>
      </c>
      <c r="AO36" s="112" t="s">
        <v>2832</v>
      </c>
      <c r="AP36" s="113" t="s">
        <v>2833</v>
      </c>
      <c r="AQ36" s="114" t="s">
        <v>2834</v>
      </c>
      <c r="AR36" s="112" t="s">
        <v>2835</v>
      </c>
      <c r="AS36" s="113" t="s">
        <v>2836</v>
      </c>
      <c r="AT36" s="114" t="s">
        <v>2837</v>
      </c>
      <c r="AU36" s="112" t="s">
        <v>2838</v>
      </c>
      <c r="AV36" s="113" t="s">
        <v>2839</v>
      </c>
      <c r="AW36" s="114" t="s">
        <v>2840</v>
      </c>
      <c r="AX36" s="116" t="s">
        <v>2841</v>
      </c>
      <c r="AY36" s="113" t="s">
        <v>2842</v>
      </c>
      <c r="AZ36" s="114" t="s">
        <v>2843</v>
      </c>
      <c r="BA36" s="112" t="s">
        <v>2844</v>
      </c>
      <c r="BB36" s="113" t="s">
        <v>2845</v>
      </c>
      <c r="BC36" s="114" t="s">
        <v>2846</v>
      </c>
      <c r="BD36" s="117" t="s">
        <v>2847</v>
      </c>
      <c r="BE36" s="118" t="s">
        <v>2848</v>
      </c>
      <c r="BF36" s="115" t="s">
        <v>2849</v>
      </c>
      <c r="BG36" s="117" t="s">
        <v>2850</v>
      </c>
      <c r="BH36" s="118" t="s">
        <v>2851</v>
      </c>
      <c r="BI36" s="115" t="s">
        <v>2852</v>
      </c>
      <c r="BJ36" s="117" t="s">
        <v>2853</v>
      </c>
      <c r="BK36" s="118" t="s">
        <v>2854</v>
      </c>
      <c r="BL36" s="115" t="s">
        <v>2855</v>
      </c>
      <c r="BM36" s="117" t="s">
        <v>2856</v>
      </c>
      <c r="BN36" s="118" t="s">
        <v>2857</v>
      </c>
      <c r="BO36" s="115" t="s">
        <v>2858</v>
      </c>
      <c r="BP36" s="117" t="s">
        <v>2859</v>
      </c>
      <c r="BQ36" s="118" t="s">
        <v>2860</v>
      </c>
      <c r="BR36" s="115" t="s">
        <v>2861</v>
      </c>
      <c r="BS36" s="112" t="s">
        <v>2862</v>
      </c>
      <c r="BT36" s="113" t="s">
        <v>2863</v>
      </c>
      <c r="BU36" s="114" t="s">
        <v>2864</v>
      </c>
      <c r="BV36" s="117" t="s">
        <v>2865</v>
      </c>
      <c r="BW36" s="118" t="s">
        <v>2866</v>
      </c>
      <c r="BX36" s="115" t="s">
        <v>2867</v>
      </c>
      <c r="BY36" s="117" t="s">
        <v>2868</v>
      </c>
      <c r="BZ36" s="118" t="s">
        <v>2869</v>
      </c>
      <c r="CA36" s="115" t="s">
        <v>2870</v>
      </c>
      <c r="CB36" s="117" t="s">
        <v>2871</v>
      </c>
      <c r="CC36" s="118" t="s">
        <v>2872</v>
      </c>
      <c r="CD36" s="115" t="s">
        <v>2873</v>
      </c>
      <c r="CE36" s="108" t="s">
        <v>10</v>
      </c>
    </row>
    <row r="37" spans="1:83" ht="15.75" customHeight="1" x14ac:dyDescent="0.3">
      <c r="A37" s="38">
        <v>35</v>
      </c>
      <c r="B37" s="112" t="s">
        <v>2874</v>
      </c>
      <c r="C37" s="113" t="s">
        <v>2875</v>
      </c>
      <c r="D37" s="114" t="s">
        <v>2876</v>
      </c>
      <c r="E37" s="112" t="s">
        <v>2877</v>
      </c>
      <c r="F37" s="113" t="s">
        <v>2878</v>
      </c>
      <c r="G37" s="114" t="s">
        <v>2879</v>
      </c>
      <c r="H37" s="112" t="s">
        <v>2880</v>
      </c>
      <c r="I37" s="113" t="s">
        <v>2881</v>
      </c>
      <c r="J37" s="114" t="s">
        <v>2882</v>
      </c>
      <c r="K37" s="112" t="s">
        <v>2883</v>
      </c>
      <c r="L37" s="113" t="s">
        <v>2884</v>
      </c>
      <c r="M37" s="114" t="s">
        <v>2885</v>
      </c>
      <c r="N37" s="112" t="s">
        <v>2886</v>
      </c>
      <c r="O37" s="113" t="s">
        <v>2887</v>
      </c>
      <c r="P37" s="114" t="s">
        <v>2888</v>
      </c>
      <c r="Q37" s="112" t="s">
        <v>2889</v>
      </c>
      <c r="R37" s="113" t="s">
        <v>2890</v>
      </c>
      <c r="S37" s="114" t="s">
        <v>2891</v>
      </c>
      <c r="T37" s="112" t="s">
        <v>2892</v>
      </c>
      <c r="U37" s="113" t="s">
        <v>2893</v>
      </c>
      <c r="V37" s="115" t="s">
        <v>2894</v>
      </c>
      <c r="W37" s="112" t="s">
        <v>2895</v>
      </c>
      <c r="X37" s="113" t="s">
        <v>2896</v>
      </c>
      <c r="Y37" s="114" t="s">
        <v>2897</v>
      </c>
      <c r="Z37" s="112" t="s">
        <v>2898</v>
      </c>
      <c r="AA37" s="113" t="s">
        <v>2899</v>
      </c>
      <c r="AB37" s="114" t="s">
        <v>2900</v>
      </c>
      <c r="AC37" s="112" t="s">
        <v>2901</v>
      </c>
      <c r="AD37" s="113" t="s">
        <v>2902</v>
      </c>
      <c r="AE37" s="114" t="s">
        <v>2903</v>
      </c>
      <c r="AF37" s="112" t="s">
        <v>2904</v>
      </c>
      <c r="AG37" s="113" t="s">
        <v>2905</v>
      </c>
      <c r="AH37" s="114" t="s">
        <v>2906</v>
      </c>
      <c r="AI37" s="112" t="s">
        <v>2907</v>
      </c>
      <c r="AJ37" s="113" t="s">
        <v>2908</v>
      </c>
      <c r="AK37" s="114" t="s">
        <v>2909</v>
      </c>
      <c r="AL37" s="116" t="s">
        <v>2910</v>
      </c>
      <c r="AM37" s="113" t="s">
        <v>2911</v>
      </c>
      <c r="AN37" s="114" t="s">
        <v>2912</v>
      </c>
      <c r="AO37" s="112" t="s">
        <v>2913</v>
      </c>
      <c r="AP37" s="113" t="s">
        <v>2914</v>
      </c>
      <c r="AQ37" s="114" t="s">
        <v>2915</v>
      </c>
      <c r="AR37" s="112" t="s">
        <v>2916</v>
      </c>
      <c r="AS37" s="113" t="s">
        <v>2917</v>
      </c>
      <c r="AT37" s="114" t="s">
        <v>2918</v>
      </c>
      <c r="AU37" s="112" t="s">
        <v>2919</v>
      </c>
      <c r="AV37" s="113" t="s">
        <v>2920</v>
      </c>
      <c r="AW37" s="114" t="s">
        <v>2921</v>
      </c>
      <c r="AX37" s="116" t="s">
        <v>2922</v>
      </c>
      <c r="AY37" s="113" t="s">
        <v>2923</v>
      </c>
      <c r="AZ37" s="114" t="s">
        <v>2924</v>
      </c>
      <c r="BA37" s="115" t="s">
        <v>2925</v>
      </c>
      <c r="BB37" s="115" t="s">
        <v>2925</v>
      </c>
      <c r="BC37" s="115"/>
      <c r="BD37" s="117" t="s">
        <v>2926</v>
      </c>
      <c r="BE37" s="118" t="s">
        <v>2927</v>
      </c>
      <c r="BF37" s="115" t="s">
        <v>2928</v>
      </c>
      <c r="BG37" s="115" t="s">
        <v>2925</v>
      </c>
      <c r="BH37" s="115" t="s">
        <v>2925</v>
      </c>
      <c r="BI37" s="115"/>
      <c r="BJ37" s="117" t="s">
        <v>2929</v>
      </c>
      <c r="BK37" s="118" t="s">
        <v>2930</v>
      </c>
      <c r="BL37" s="115" t="s">
        <v>2931</v>
      </c>
      <c r="BM37" s="117" t="s">
        <v>2932</v>
      </c>
      <c r="BN37" s="118" t="s">
        <v>2933</v>
      </c>
      <c r="BO37" s="115" t="s">
        <v>2934</v>
      </c>
      <c r="BP37" s="117" t="s">
        <v>2935</v>
      </c>
      <c r="BQ37" s="118" t="s">
        <v>2936</v>
      </c>
      <c r="BR37" s="115" t="s">
        <v>2937</v>
      </c>
      <c r="BS37" s="112" t="s">
        <v>2938</v>
      </c>
      <c r="BT37" s="113" t="s">
        <v>2939</v>
      </c>
      <c r="BU37" s="114" t="s">
        <v>2940</v>
      </c>
      <c r="BV37" s="117" t="s">
        <v>2941</v>
      </c>
      <c r="BW37" s="118" t="s">
        <v>2942</v>
      </c>
      <c r="BX37" s="115" t="s">
        <v>2943</v>
      </c>
      <c r="BY37" s="117" t="s">
        <v>2944</v>
      </c>
      <c r="BZ37" s="113" t="s">
        <v>2945</v>
      </c>
      <c r="CA37" s="115" t="s">
        <v>2946</v>
      </c>
      <c r="CB37" s="117" t="s">
        <v>2947</v>
      </c>
      <c r="CC37" s="118" t="s">
        <v>2948</v>
      </c>
      <c r="CD37" s="115" t="s">
        <v>2949</v>
      </c>
      <c r="CE37" s="108" t="s">
        <v>10</v>
      </c>
    </row>
    <row r="38" spans="1:83" ht="15.75" customHeight="1" x14ac:dyDescent="0.3">
      <c r="A38" s="38">
        <v>36</v>
      </c>
      <c r="B38" s="115" t="s">
        <v>2925</v>
      </c>
      <c r="C38" s="115" t="s">
        <v>2925</v>
      </c>
      <c r="D38" s="115"/>
      <c r="E38" s="112" t="s">
        <v>2950</v>
      </c>
      <c r="F38" s="113" t="s">
        <v>2951</v>
      </c>
      <c r="G38" s="114" t="s">
        <v>2952</v>
      </c>
      <c r="H38" s="112" t="s">
        <v>2953</v>
      </c>
      <c r="I38" s="113" t="s">
        <v>2954</v>
      </c>
      <c r="J38" s="114" t="s">
        <v>2955</v>
      </c>
      <c r="K38" s="112" t="s">
        <v>2956</v>
      </c>
      <c r="L38" s="113" t="s">
        <v>2957</v>
      </c>
      <c r="M38" s="114" t="s">
        <v>2958</v>
      </c>
      <c r="N38" s="112" t="s">
        <v>2959</v>
      </c>
      <c r="O38" s="113" t="s">
        <v>2960</v>
      </c>
      <c r="P38" s="114" t="s">
        <v>2961</v>
      </c>
      <c r="Q38" s="115" t="s">
        <v>2925</v>
      </c>
      <c r="R38" s="115" t="s">
        <v>2925</v>
      </c>
      <c r="S38" s="115"/>
      <c r="T38" s="112" t="s">
        <v>2962</v>
      </c>
      <c r="U38" s="113" t="s">
        <v>2963</v>
      </c>
      <c r="V38" s="115" t="s">
        <v>2964</v>
      </c>
      <c r="W38" s="112" t="s">
        <v>2965</v>
      </c>
      <c r="X38" s="113" t="s">
        <v>2966</v>
      </c>
      <c r="Y38" s="114" t="s">
        <v>2967</v>
      </c>
      <c r="Z38" s="112" t="s">
        <v>2968</v>
      </c>
      <c r="AA38" s="113" t="s">
        <v>2969</v>
      </c>
      <c r="AB38" s="114" t="s">
        <v>2970</v>
      </c>
      <c r="AC38" s="112" t="s">
        <v>2971</v>
      </c>
      <c r="AD38" s="113" t="s">
        <v>2972</v>
      </c>
      <c r="AE38" s="114" t="s">
        <v>2973</v>
      </c>
      <c r="AF38" s="112" t="s">
        <v>2974</v>
      </c>
      <c r="AG38" s="113" t="s">
        <v>2975</v>
      </c>
      <c r="AH38" s="114" t="s">
        <v>2976</v>
      </c>
      <c r="AI38" s="112" t="s">
        <v>2977</v>
      </c>
      <c r="AJ38" s="113" t="s">
        <v>2978</v>
      </c>
      <c r="AK38" s="114" t="s">
        <v>2979</v>
      </c>
      <c r="AL38" s="116" t="s">
        <v>2980</v>
      </c>
      <c r="AM38" s="113" t="s">
        <v>2981</v>
      </c>
      <c r="AN38" s="114" t="s">
        <v>2982</v>
      </c>
      <c r="AO38" s="112" t="s">
        <v>2983</v>
      </c>
      <c r="AP38" s="113" t="s">
        <v>2984</v>
      </c>
      <c r="AQ38" s="114" t="s">
        <v>2985</v>
      </c>
      <c r="AR38" s="112" t="s">
        <v>2986</v>
      </c>
      <c r="AS38" s="113" t="s">
        <v>2987</v>
      </c>
      <c r="AT38" s="114" t="s">
        <v>2988</v>
      </c>
      <c r="AU38" s="115" t="s">
        <v>2925</v>
      </c>
      <c r="AV38" s="115" t="s">
        <v>2925</v>
      </c>
      <c r="AW38" s="115"/>
      <c r="AX38" s="116" t="s">
        <v>2989</v>
      </c>
      <c r="AY38" s="113" t="s">
        <v>2990</v>
      </c>
      <c r="AZ38" s="114" t="s">
        <v>2991</v>
      </c>
      <c r="BA38" s="115" t="s">
        <v>2925</v>
      </c>
      <c r="BB38" s="115" t="s">
        <v>2925</v>
      </c>
      <c r="BC38" s="115"/>
      <c r="BD38" s="115" t="s">
        <v>2925</v>
      </c>
      <c r="BE38" s="115" t="s">
        <v>2925</v>
      </c>
      <c r="BF38" s="115"/>
      <c r="BG38" s="115" t="s">
        <v>2925</v>
      </c>
      <c r="BH38" s="115" t="s">
        <v>2925</v>
      </c>
      <c r="BI38" s="115"/>
      <c r="BJ38" s="117" t="s">
        <v>2992</v>
      </c>
      <c r="BK38" s="118" t="s">
        <v>2993</v>
      </c>
      <c r="BL38" s="115" t="s">
        <v>2994</v>
      </c>
      <c r="BM38" s="115" t="s">
        <v>2925</v>
      </c>
      <c r="BN38" s="115" t="s">
        <v>2925</v>
      </c>
      <c r="BO38" s="115"/>
      <c r="BP38" s="117" t="s">
        <v>2995</v>
      </c>
      <c r="BQ38" s="118" t="s">
        <v>2996</v>
      </c>
      <c r="BR38" s="115" t="s">
        <v>2997</v>
      </c>
      <c r="BS38" s="112" t="s">
        <v>2998</v>
      </c>
      <c r="BT38" s="113" t="s">
        <v>2999</v>
      </c>
      <c r="BU38" s="114" t="s">
        <v>3000</v>
      </c>
      <c r="BV38" s="117" t="s">
        <v>3001</v>
      </c>
      <c r="BW38" s="118" t="s">
        <v>3002</v>
      </c>
      <c r="BX38" s="115" t="s">
        <v>3003</v>
      </c>
      <c r="BY38" s="117" t="s">
        <v>3004</v>
      </c>
      <c r="BZ38" s="118" t="s">
        <v>3005</v>
      </c>
      <c r="CA38" s="115" t="s">
        <v>3006</v>
      </c>
      <c r="CB38" s="117" t="s">
        <v>3007</v>
      </c>
      <c r="CC38" s="118" t="s">
        <v>3008</v>
      </c>
      <c r="CD38" s="115" t="s">
        <v>3009</v>
      </c>
      <c r="CE38" s="108" t="s">
        <v>10</v>
      </c>
    </row>
    <row r="39" spans="1:83" ht="15.75" customHeight="1" x14ac:dyDescent="0.25">
      <c r="A39" s="38">
        <f>SUM(B39:CD39)</f>
        <v>963</v>
      </c>
      <c r="B39" s="38"/>
      <c r="C39" s="107"/>
      <c r="D39" s="107">
        <f>COUNTA(D3:D38)</f>
        <v>35</v>
      </c>
      <c r="E39" s="38"/>
      <c r="F39" s="107"/>
      <c r="G39" s="107">
        <f>COUNTA(G3:G38)</f>
        <v>36</v>
      </c>
      <c r="H39" s="38"/>
      <c r="I39" s="107"/>
      <c r="J39" s="107">
        <f>COUNTA(J3:J38)</f>
        <v>36</v>
      </c>
      <c r="K39" s="38"/>
      <c r="L39" s="107"/>
      <c r="M39" s="107">
        <f>COUNTA(M3:M38)</f>
        <v>36</v>
      </c>
      <c r="N39" s="38"/>
      <c r="O39" s="107"/>
      <c r="P39" s="107">
        <f>COUNTA(P3:P38)</f>
        <v>36</v>
      </c>
      <c r="Q39" s="38"/>
      <c r="R39" s="107"/>
      <c r="S39" s="107">
        <f>COUNTA(S3:S38)</f>
        <v>35</v>
      </c>
      <c r="T39" s="38"/>
      <c r="U39" s="107"/>
      <c r="V39" s="107">
        <f>COUNTA(V3:V38)</f>
        <v>36</v>
      </c>
      <c r="W39" s="38"/>
      <c r="X39" s="107"/>
      <c r="Y39" s="107">
        <f>COUNTA(Y3:Y38)</f>
        <v>36</v>
      </c>
      <c r="Z39" s="38"/>
      <c r="AA39" s="107"/>
      <c r="AB39" s="107">
        <f>COUNTA(AB3:AB38)</f>
        <v>36</v>
      </c>
      <c r="AC39" s="38"/>
      <c r="AD39" s="107"/>
      <c r="AE39" s="107">
        <f>COUNTA(AE3:AE38)</f>
        <v>36</v>
      </c>
      <c r="AF39" s="38"/>
      <c r="AG39" s="107"/>
      <c r="AH39" s="107">
        <f>COUNTA(AH3:AH38)</f>
        <v>36</v>
      </c>
      <c r="AI39" s="38"/>
      <c r="AJ39" s="107"/>
      <c r="AK39" s="107">
        <f>COUNTA(AK3:AK38)</f>
        <v>36</v>
      </c>
      <c r="AL39" s="38"/>
      <c r="AM39" s="107"/>
      <c r="AN39" s="107">
        <f>COUNTA(AN3:AN38)</f>
        <v>36</v>
      </c>
      <c r="AO39" s="38"/>
      <c r="AP39" s="107"/>
      <c r="AQ39" s="107">
        <f>COUNTA(AQ3:AQ38)</f>
        <v>36</v>
      </c>
      <c r="AR39" s="38"/>
      <c r="AS39" s="107"/>
      <c r="AT39" s="107">
        <f>COUNTA(AT3:AT38)</f>
        <v>36</v>
      </c>
      <c r="AU39" s="38"/>
      <c r="AV39" s="107"/>
      <c r="AW39" s="107">
        <f>COUNTA(AW3:AW38)</f>
        <v>35</v>
      </c>
      <c r="AX39" s="38"/>
      <c r="AY39" s="107"/>
      <c r="AZ39" s="107">
        <f>COUNTA(AZ3:AZ38)</f>
        <v>36</v>
      </c>
      <c r="BA39" s="38"/>
      <c r="BB39" s="107"/>
      <c r="BC39" s="107">
        <f>COUNTA(BC3:BC38)</f>
        <v>34</v>
      </c>
      <c r="BD39" s="38"/>
      <c r="BE39" s="107"/>
      <c r="BF39" s="107">
        <f>COUNTA(BF3:BF38)</f>
        <v>35</v>
      </c>
      <c r="BG39" s="38"/>
      <c r="BH39" s="107"/>
      <c r="BI39" s="107">
        <f>COUNTA(BI3:BI38)</f>
        <v>34</v>
      </c>
      <c r="BJ39" s="38"/>
      <c r="BK39" s="107"/>
      <c r="BL39" s="107">
        <f>COUNTA(BL3:BL38)</f>
        <v>36</v>
      </c>
      <c r="BM39" s="38"/>
      <c r="BN39" s="107"/>
      <c r="BO39" s="107">
        <f>COUNTA(BO3:BO38)</f>
        <v>35</v>
      </c>
      <c r="BP39" s="38"/>
      <c r="BQ39" s="107"/>
      <c r="BR39" s="107">
        <f>COUNTA(BR3:BR38)</f>
        <v>36</v>
      </c>
      <c r="BS39" s="38"/>
      <c r="BT39" s="107"/>
      <c r="BU39" s="107">
        <f>COUNTA(BU3:BU38)</f>
        <v>36</v>
      </c>
      <c r="BV39" s="38"/>
      <c r="BW39" s="107"/>
      <c r="BX39" s="107">
        <f>COUNTA(BX3:BX38)</f>
        <v>36</v>
      </c>
      <c r="BY39" s="38"/>
      <c r="BZ39" s="107"/>
      <c r="CA39" s="107">
        <f>COUNTA(CA3:CA38)</f>
        <v>36</v>
      </c>
      <c r="CB39" s="38"/>
      <c r="CC39" s="107"/>
      <c r="CD39" s="107">
        <f>COUNTA(CD3:CD38)</f>
        <v>36</v>
      </c>
      <c r="CE39" s="40">
        <f>SUM(B39:CD39)</f>
        <v>963</v>
      </c>
    </row>
    <row r="40" spans="1:83" ht="15.75" customHeight="1" x14ac:dyDescent="0.25">
      <c r="A40" s="7"/>
      <c r="B40" s="7"/>
    </row>
    <row r="41" spans="1:83" ht="15.75" customHeight="1" x14ac:dyDescent="0.25">
      <c r="A41" s="7"/>
      <c r="B41" s="7"/>
      <c r="V41" s="37" t="s">
        <v>10</v>
      </c>
    </row>
    <row r="42" spans="1:83" ht="15.75" customHeight="1" x14ac:dyDescent="0.25">
      <c r="A42" s="7"/>
      <c r="B42" s="7"/>
    </row>
    <row r="43" spans="1:83" ht="15.75" customHeight="1" x14ac:dyDescent="0.25">
      <c r="A43" s="6" t="s">
        <v>3010</v>
      </c>
      <c r="B43" s="109" t="s">
        <v>3011</v>
      </c>
    </row>
    <row r="44" spans="1:83" ht="15.75" customHeight="1" x14ac:dyDescent="0.25">
      <c r="A44" s="110" t="s">
        <v>67</v>
      </c>
      <c r="B44" s="111">
        <v>16</v>
      </c>
      <c r="C44" s="8"/>
    </row>
    <row r="45" spans="1:83" ht="15.75" customHeight="1" x14ac:dyDescent="0.25">
      <c r="A45" s="110" t="s">
        <v>69</v>
      </c>
      <c r="B45" s="111">
        <v>19</v>
      </c>
      <c r="C45" s="8"/>
    </row>
    <row r="46" spans="1:83" ht="15.75" customHeight="1" x14ac:dyDescent="0.25">
      <c r="A46" s="110" t="s">
        <v>70</v>
      </c>
      <c r="B46" s="111">
        <v>22</v>
      </c>
      <c r="C46" s="8"/>
    </row>
    <row r="47" spans="1:83" ht="15.75" customHeight="1" x14ac:dyDescent="0.25">
      <c r="A47" s="110" t="s">
        <v>74</v>
      </c>
      <c r="B47" s="111">
        <v>25</v>
      </c>
      <c r="C47" s="8"/>
    </row>
    <row r="48" spans="1:83" ht="15.75" customHeight="1" x14ac:dyDescent="0.25">
      <c r="A48" s="110" t="s">
        <v>75</v>
      </c>
      <c r="B48" s="111">
        <v>7</v>
      </c>
      <c r="C48" s="8"/>
    </row>
    <row r="49" spans="1:3" ht="15.75" customHeight="1" x14ac:dyDescent="0.25">
      <c r="A49" s="110" t="s">
        <v>77</v>
      </c>
      <c r="B49" s="111">
        <v>10</v>
      </c>
      <c r="C49" s="8"/>
    </row>
    <row r="50" spans="1:3" ht="15.75" customHeight="1" x14ac:dyDescent="0.25">
      <c r="A50" s="110" t="s">
        <v>79</v>
      </c>
      <c r="B50" s="111">
        <v>13</v>
      </c>
      <c r="C50" s="8"/>
    </row>
    <row r="51" spans="1:3" ht="15.75" customHeight="1" x14ac:dyDescent="0.25">
      <c r="A51" s="110" t="s">
        <v>80</v>
      </c>
      <c r="B51" s="111">
        <v>1</v>
      </c>
      <c r="C51" s="8"/>
    </row>
    <row r="52" spans="1:3" ht="15.75" customHeight="1" x14ac:dyDescent="0.25">
      <c r="A52" s="110" t="s">
        <v>82</v>
      </c>
      <c r="B52" s="111">
        <v>4</v>
      </c>
      <c r="C52" s="8"/>
    </row>
    <row r="53" spans="1:3" ht="15.75" customHeight="1" x14ac:dyDescent="0.25">
      <c r="A53" s="110" t="s">
        <v>83</v>
      </c>
      <c r="B53" s="111">
        <v>43</v>
      </c>
      <c r="C53" s="8"/>
    </row>
    <row r="54" spans="1:3" ht="15.75" customHeight="1" x14ac:dyDescent="0.25">
      <c r="A54" s="110" t="s">
        <v>85</v>
      </c>
      <c r="B54" s="111">
        <v>46</v>
      </c>
      <c r="C54" s="8"/>
    </row>
    <row r="55" spans="1:3" ht="15.75" customHeight="1" x14ac:dyDescent="0.25">
      <c r="A55" s="110" t="s">
        <v>86</v>
      </c>
      <c r="B55" s="111">
        <v>49</v>
      </c>
      <c r="C55" s="8"/>
    </row>
    <row r="56" spans="1:3" ht="15.75" customHeight="1" x14ac:dyDescent="0.25">
      <c r="A56" s="110" t="s">
        <v>87</v>
      </c>
      <c r="B56" s="111">
        <v>52</v>
      </c>
      <c r="C56" s="8"/>
    </row>
    <row r="57" spans="1:3" ht="15.75" customHeight="1" x14ac:dyDescent="0.25">
      <c r="A57" s="110" t="s">
        <v>88</v>
      </c>
      <c r="B57" s="111">
        <v>34</v>
      </c>
      <c r="C57" s="8"/>
    </row>
    <row r="58" spans="1:3" ht="15.75" customHeight="1" x14ac:dyDescent="0.25">
      <c r="A58" s="110" t="s">
        <v>89</v>
      </c>
      <c r="B58" s="111">
        <v>37</v>
      </c>
      <c r="C58" s="8"/>
    </row>
    <row r="59" spans="1:3" ht="15.75" customHeight="1" x14ac:dyDescent="0.25">
      <c r="A59" s="110" t="s">
        <v>90</v>
      </c>
      <c r="B59" s="111">
        <v>40</v>
      </c>
      <c r="C59" s="8"/>
    </row>
    <row r="60" spans="1:3" ht="15.75" customHeight="1" x14ac:dyDescent="0.25">
      <c r="A60" s="110" t="s">
        <v>91</v>
      </c>
      <c r="B60" s="111">
        <v>28</v>
      </c>
      <c r="C60" s="8"/>
    </row>
    <row r="61" spans="1:3" ht="15.75" customHeight="1" x14ac:dyDescent="0.25">
      <c r="A61" s="110" t="s">
        <v>92</v>
      </c>
      <c r="B61" s="111">
        <v>31</v>
      </c>
      <c r="C61" s="8"/>
    </row>
    <row r="62" spans="1:3" ht="15.75" customHeight="1" x14ac:dyDescent="0.25">
      <c r="A62" s="110" t="s">
        <v>93</v>
      </c>
      <c r="B62" s="111">
        <v>70</v>
      </c>
      <c r="C62" s="8"/>
    </row>
    <row r="63" spans="1:3" ht="15.75" customHeight="1" x14ac:dyDescent="0.25">
      <c r="A63" s="110" t="s">
        <v>94</v>
      </c>
      <c r="B63" s="111">
        <v>73</v>
      </c>
      <c r="C63" s="8"/>
    </row>
    <row r="64" spans="1:3" ht="15.75" customHeight="1" x14ac:dyDescent="0.25">
      <c r="A64" s="110" t="s">
        <v>95</v>
      </c>
      <c r="B64" s="111">
        <v>76</v>
      </c>
      <c r="C64" s="8"/>
    </row>
    <row r="65" spans="1:3" ht="15.75" customHeight="1" x14ac:dyDescent="0.25">
      <c r="A65" s="110" t="s">
        <v>96</v>
      </c>
      <c r="B65" s="111">
        <v>79</v>
      </c>
      <c r="C65" s="8"/>
    </row>
    <row r="66" spans="1:3" ht="15.75" customHeight="1" x14ac:dyDescent="0.25">
      <c r="A66" s="110" t="s">
        <v>97</v>
      </c>
      <c r="B66" s="111">
        <v>61</v>
      </c>
      <c r="C66" s="8"/>
    </row>
    <row r="67" spans="1:3" ht="15.75" customHeight="1" x14ac:dyDescent="0.25">
      <c r="A67" s="110" t="s">
        <v>98</v>
      </c>
      <c r="B67" s="111">
        <v>64</v>
      </c>
      <c r="C67" s="8"/>
    </row>
    <row r="68" spans="1:3" ht="15.75" customHeight="1" x14ac:dyDescent="0.25">
      <c r="A68" s="110" t="s">
        <v>99</v>
      </c>
      <c r="B68" s="111">
        <v>67</v>
      </c>
      <c r="C68" s="8"/>
    </row>
    <row r="69" spans="1:3" ht="15.75" customHeight="1" x14ac:dyDescent="0.25">
      <c r="A69" s="110" t="s">
        <v>100</v>
      </c>
      <c r="B69" s="111">
        <v>55</v>
      </c>
      <c r="C69" s="8"/>
    </row>
    <row r="70" spans="1:3" ht="15.75" customHeight="1" x14ac:dyDescent="0.25">
      <c r="A70" s="110" t="s">
        <v>101</v>
      </c>
      <c r="B70" s="111">
        <v>58</v>
      </c>
      <c r="C70" s="8"/>
    </row>
    <row r="71" spans="1:3" ht="15.75" customHeight="1" x14ac:dyDescent="0.25">
      <c r="A71" s="7"/>
      <c r="B71" s="7"/>
    </row>
    <row r="72" spans="1:3" ht="15.75" customHeight="1" x14ac:dyDescent="0.25">
      <c r="A72" s="7"/>
      <c r="B72" s="7"/>
    </row>
    <row r="73" spans="1:3" ht="15.75" customHeight="1" x14ac:dyDescent="0.25">
      <c r="A73" s="7"/>
      <c r="B73" s="7"/>
    </row>
    <row r="74" spans="1:3" ht="15.75" customHeight="1" x14ac:dyDescent="0.25">
      <c r="A74" s="7"/>
      <c r="B74" s="7"/>
    </row>
    <row r="75" spans="1:3" ht="15.75" customHeight="1" x14ac:dyDescent="0.25"/>
    <row r="76" spans="1:3" ht="15.75" customHeight="1" x14ac:dyDescent="0.25"/>
    <row r="77" spans="1:3" ht="15.75" customHeight="1" x14ac:dyDescent="0.25"/>
    <row r="78" spans="1:3" ht="15.75" customHeight="1" x14ac:dyDescent="0.25"/>
    <row r="79" spans="1:3" ht="15.75" customHeight="1" x14ac:dyDescent="0.25"/>
    <row r="80" spans="1:3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03"/>
  <sheetViews>
    <sheetView tabSelected="1" topLeftCell="A31" workbookViewId="0">
      <selection activeCell="F32" sqref="F32"/>
    </sheetView>
  </sheetViews>
  <sheetFormatPr defaultColWidth="14.42578125" defaultRowHeight="15" customHeight="1" x14ac:dyDescent="0.25"/>
  <cols>
    <col min="1" max="1" width="11.140625" style="39" customWidth="1"/>
    <col min="2" max="2" width="24.5703125" style="39" customWidth="1"/>
    <col min="3" max="3" width="13" style="39" customWidth="1"/>
    <col min="4" max="4" width="21.7109375" style="39" customWidth="1"/>
    <col min="5" max="5" width="27.42578125" style="39" customWidth="1"/>
    <col min="6" max="6" width="13.7109375" style="39" customWidth="1"/>
    <col min="7" max="7" width="13.42578125" style="39" customWidth="1"/>
    <col min="8" max="8" width="11.28515625" style="39" customWidth="1"/>
    <col min="9" max="9" width="10" style="39" customWidth="1"/>
    <col min="10" max="10" width="9.7109375" style="39" customWidth="1"/>
    <col min="11" max="12" width="15.5703125" style="39" customWidth="1"/>
    <col min="13" max="14" width="9.140625" style="39" customWidth="1"/>
    <col min="15" max="15" width="10.140625" style="39" customWidth="1"/>
    <col min="16" max="16" width="9.140625" style="39" customWidth="1"/>
    <col min="17" max="23" width="9.140625" style="39" hidden="1" customWidth="1"/>
    <col min="24" max="31" width="9.140625" style="39" customWidth="1"/>
    <col min="32" max="16384" width="14.42578125" style="39"/>
  </cols>
  <sheetData>
    <row r="1" spans="1:31" ht="60" x14ac:dyDescent="0.25">
      <c r="A1" s="216" t="s">
        <v>3012</v>
      </c>
      <c r="B1" s="216" t="s">
        <v>3013</v>
      </c>
      <c r="C1" s="216" t="s">
        <v>3014</v>
      </c>
      <c r="D1" s="216" t="s">
        <v>3015</v>
      </c>
      <c r="E1" s="216" t="s">
        <v>3016</v>
      </c>
      <c r="F1" s="217" t="s">
        <v>3017</v>
      </c>
      <c r="G1" s="217" t="s">
        <v>3018</v>
      </c>
      <c r="I1" s="224" t="s">
        <v>3019</v>
      </c>
    </row>
    <row r="2" spans="1:31" ht="30" x14ac:dyDescent="0.3">
      <c r="A2" s="175" t="s">
        <v>3020</v>
      </c>
      <c r="B2" s="176" t="s">
        <v>3021</v>
      </c>
      <c r="C2" s="175" t="s">
        <v>3022</v>
      </c>
      <c r="D2" s="175" t="s">
        <v>3023</v>
      </c>
      <c r="E2" s="175" t="s">
        <v>3024</v>
      </c>
      <c r="F2" s="175" t="s">
        <v>3025</v>
      </c>
      <c r="G2" s="175" t="s">
        <v>3026</v>
      </c>
      <c r="I2" s="225" t="s">
        <v>3027</v>
      </c>
      <c r="K2" s="177"/>
      <c r="L2" s="178"/>
      <c r="M2" s="177"/>
      <c r="N2" s="179"/>
      <c r="O2" s="180"/>
      <c r="P2" s="181"/>
      <c r="Q2" s="121" t="s">
        <v>67</v>
      </c>
      <c r="R2" s="189" t="s">
        <v>3028</v>
      </c>
      <c r="S2" s="189" t="s">
        <v>3029</v>
      </c>
      <c r="T2" s="198" t="s">
        <v>3023</v>
      </c>
      <c r="U2" s="181"/>
      <c r="V2" s="190"/>
      <c r="W2" s="190" t="s">
        <v>3030</v>
      </c>
      <c r="X2" s="181"/>
      <c r="Y2" s="181"/>
      <c r="Z2" s="181"/>
      <c r="AA2" s="181"/>
      <c r="AB2" s="181"/>
      <c r="AC2" s="181"/>
      <c r="AD2" s="181"/>
      <c r="AE2" s="181"/>
    </row>
    <row r="3" spans="1:31" ht="16.5" x14ac:dyDescent="0.3">
      <c r="A3" s="50" t="s">
        <v>98</v>
      </c>
      <c r="B3" s="182" t="s">
        <v>46</v>
      </c>
      <c r="C3" s="218">
        <v>70</v>
      </c>
      <c r="D3" s="49" t="s">
        <v>3070</v>
      </c>
      <c r="E3" s="226" t="s">
        <v>3156</v>
      </c>
      <c r="F3" s="183">
        <v>30</v>
      </c>
      <c r="G3" s="183">
        <v>70</v>
      </c>
      <c r="K3" s="177"/>
      <c r="L3" s="178"/>
      <c r="M3" s="177"/>
      <c r="N3" s="179"/>
      <c r="O3" s="180"/>
      <c r="P3" s="181"/>
      <c r="Q3" s="121" t="s">
        <v>69</v>
      </c>
      <c r="R3" s="195" t="str">
        <f>VLOOKUP($S3,mapel,VLOOKUP($A$3,'data mapel'!$A$29:$B$55,2)+1)</f>
        <v>Pendidikan Agama dan Budi Pekerti</v>
      </c>
      <c r="S3" s="190">
        <v>1</v>
      </c>
      <c r="T3" s="196" t="s">
        <v>3032</v>
      </c>
      <c r="U3" s="181"/>
      <c r="V3" s="191">
        <v>1</v>
      </c>
      <c r="W3" s="192" t="s">
        <v>3033</v>
      </c>
      <c r="X3" s="181"/>
      <c r="Y3" s="181"/>
      <c r="Z3" s="181"/>
      <c r="AA3" s="181"/>
      <c r="AB3" s="181"/>
      <c r="AC3" s="181"/>
      <c r="AD3" s="181"/>
      <c r="AE3" s="181"/>
    </row>
    <row r="4" spans="1:31" ht="16.5" x14ac:dyDescent="0.3">
      <c r="K4" s="177"/>
      <c r="L4" s="178"/>
      <c r="M4" s="177"/>
      <c r="N4" s="179"/>
      <c r="O4" s="180"/>
      <c r="P4" s="181"/>
      <c r="Q4" s="121" t="s">
        <v>70</v>
      </c>
      <c r="R4" s="195" t="str">
        <f>VLOOKUP($S4,mapel,VLOOKUP($A$3,'data mapel'!$A$29:$B$55,2)+1)</f>
        <v>Pendidikan Pancasila dan Kewarganegaraan</v>
      </c>
      <c r="S4" s="190">
        <v>2</v>
      </c>
      <c r="T4" s="196" t="s">
        <v>3034</v>
      </c>
      <c r="U4" s="181"/>
      <c r="V4" s="191">
        <v>2</v>
      </c>
      <c r="W4" s="192" t="s">
        <v>3035</v>
      </c>
      <c r="X4" s="181"/>
      <c r="Y4" s="181"/>
      <c r="Z4" s="181"/>
      <c r="AA4" s="181"/>
      <c r="AB4" s="181"/>
      <c r="AC4" s="181"/>
      <c r="AD4" s="181"/>
      <c r="AE4" s="181"/>
    </row>
    <row r="5" spans="1:31" ht="30" x14ac:dyDescent="0.3">
      <c r="E5" s="217" t="s">
        <v>3036</v>
      </c>
      <c r="F5" s="217" t="s">
        <v>3037</v>
      </c>
      <c r="K5" s="177"/>
      <c r="L5" s="178"/>
      <c r="M5" s="177"/>
      <c r="N5" s="179"/>
      <c r="O5" s="180"/>
      <c r="P5" s="181"/>
      <c r="Q5" s="121" t="s">
        <v>74</v>
      </c>
      <c r="R5" s="195" t="str">
        <f>VLOOKUP($S5,mapel,VLOOKUP($A$3,'data mapel'!$A$29:$B$55,2)+1)</f>
        <v>Bahasa Indonesia</v>
      </c>
      <c r="S5" s="190">
        <v>3</v>
      </c>
      <c r="T5" s="196" t="s">
        <v>3038</v>
      </c>
      <c r="U5" s="181"/>
      <c r="V5" s="191">
        <v>3</v>
      </c>
      <c r="W5" s="192" t="s">
        <v>3039</v>
      </c>
      <c r="X5" s="181"/>
      <c r="Y5" s="181"/>
      <c r="Z5" s="181"/>
      <c r="AA5" s="181"/>
      <c r="AB5" s="181"/>
      <c r="AC5" s="181"/>
      <c r="AD5" s="181"/>
      <c r="AE5" s="181"/>
    </row>
    <row r="6" spans="1:31" ht="16.5" x14ac:dyDescent="0.3">
      <c r="A6" s="231" t="s">
        <v>3029</v>
      </c>
      <c r="B6" s="231" t="s">
        <v>3040</v>
      </c>
      <c r="C6" s="231" t="s">
        <v>3041</v>
      </c>
      <c r="D6" s="231" t="s">
        <v>3042</v>
      </c>
      <c r="E6" s="231" t="str">
        <f>B3</f>
        <v>Pemrograman Web dan Perangkat Bergerak</v>
      </c>
      <c r="F6" s="231"/>
      <c r="G6" s="231"/>
      <c r="H6" s="233" t="s">
        <v>3043</v>
      </c>
      <c r="I6" s="233" t="s">
        <v>3044</v>
      </c>
      <c r="J6" s="177"/>
      <c r="K6" s="179"/>
      <c r="L6" s="184"/>
      <c r="M6" s="185"/>
      <c r="N6" s="185"/>
      <c r="O6" s="180"/>
      <c r="P6" s="181"/>
      <c r="Q6" s="121" t="s">
        <v>75</v>
      </c>
      <c r="R6" s="195" t="str">
        <f>VLOOKUP($S6,mapel,VLOOKUP($A$3,'data mapel'!$A$29:$B$55,2)+1)</f>
        <v>Matematika</v>
      </c>
      <c r="S6" s="190">
        <v>4</v>
      </c>
      <c r="T6" s="196" t="s">
        <v>3045</v>
      </c>
      <c r="U6" s="181"/>
      <c r="V6" s="211"/>
      <c r="W6" s="190" t="s">
        <v>3046</v>
      </c>
      <c r="X6" s="181"/>
      <c r="Y6" s="181"/>
      <c r="Z6" s="181"/>
      <c r="AA6" s="181"/>
      <c r="AB6" s="181"/>
      <c r="AC6" s="181"/>
      <c r="AD6" s="181"/>
      <c r="AE6" s="181"/>
    </row>
    <row r="7" spans="1:31" ht="16.5" x14ac:dyDescent="0.3">
      <c r="A7" s="231"/>
      <c r="B7" s="231"/>
      <c r="C7" s="231"/>
      <c r="D7" s="231"/>
      <c r="E7" s="232" t="str">
        <f>D3</f>
        <v>Ade Setiyawan, S.Kom</v>
      </c>
      <c r="F7" s="232"/>
      <c r="G7" s="232"/>
      <c r="H7" s="233"/>
      <c r="I7" s="233"/>
      <c r="J7" s="177"/>
      <c r="K7" s="179"/>
      <c r="L7" s="186"/>
      <c r="M7" s="187"/>
      <c r="N7" s="187"/>
      <c r="O7" s="180"/>
      <c r="P7" s="181"/>
      <c r="Q7" s="121" t="s">
        <v>77</v>
      </c>
      <c r="R7" s="195" t="str">
        <f>VLOOKUP($S7,mapel,VLOOKUP($A$3,'data mapel'!$A$29:$B$55,2)+1)</f>
        <v xml:space="preserve"> </v>
      </c>
      <c r="S7" s="190">
        <v>5</v>
      </c>
      <c r="T7" s="196" t="s">
        <v>3047</v>
      </c>
      <c r="U7" s="181"/>
      <c r="V7" s="191">
        <v>1</v>
      </c>
      <c r="W7" s="192" t="s">
        <v>3048</v>
      </c>
      <c r="X7" s="181"/>
      <c r="Y7" s="181"/>
      <c r="Z7" s="181"/>
      <c r="AA7" s="181"/>
      <c r="AB7" s="181"/>
      <c r="AC7" s="181"/>
      <c r="AD7" s="181"/>
      <c r="AE7" s="181"/>
    </row>
    <row r="8" spans="1:31" ht="16.5" x14ac:dyDescent="0.3">
      <c r="A8" s="231"/>
      <c r="B8" s="231"/>
      <c r="C8" s="231"/>
      <c r="D8" s="231"/>
      <c r="E8" s="215" t="s">
        <v>3025</v>
      </c>
      <c r="F8" s="215" t="s">
        <v>3026</v>
      </c>
      <c r="G8" s="87" t="s">
        <v>3049</v>
      </c>
      <c r="H8" s="233"/>
      <c r="I8" s="233"/>
      <c r="J8" s="177"/>
      <c r="K8" s="179"/>
      <c r="L8" s="186"/>
      <c r="M8" s="199"/>
      <c r="N8" s="199"/>
      <c r="O8" s="200"/>
      <c r="P8" s="200"/>
      <c r="Q8" s="121" t="s">
        <v>79</v>
      </c>
      <c r="R8" s="195" t="str">
        <f>VLOOKUP($S8,mapel,VLOOKUP($A$3,'data mapel'!$A$29:$B$55,2)+1)</f>
        <v xml:space="preserve"> Bahasa Inggris</v>
      </c>
      <c r="S8" s="190">
        <v>6</v>
      </c>
      <c r="T8" s="196" t="s">
        <v>3050</v>
      </c>
      <c r="U8" s="200"/>
      <c r="V8" s="191">
        <v>2</v>
      </c>
      <c r="W8" s="192" t="s">
        <v>3051</v>
      </c>
      <c r="X8" s="181"/>
      <c r="Y8" s="181"/>
      <c r="Z8" s="181"/>
      <c r="AA8" s="181"/>
      <c r="AB8" s="181"/>
      <c r="AC8" s="181"/>
      <c r="AD8" s="181"/>
      <c r="AE8" s="181"/>
    </row>
    <row r="9" spans="1:31" ht="16.5" x14ac:dyDescent="0.3">
      <c r="A9" s="212">
        <v>1</v>
      </c>
      <c r="B9" s="212">
        <v>2</v>
      </c>
      <c r="C9" s="212">
        <v>3</v>
      </c>
      <c r="D9" s="212">
        <v>4</v>
      </c>
      <c r="E9" s="212">
        <v>5</v>
      </c>
      <c r="F9" s="212">
        <v>6</v>
      </c>
      <c r="G9" s="212">
        <v>7</v>
      </c>
      <c r="H9" s="212">
        <v>8</v>
      </c>
      <c r="I9" s="212">
        <v>9</v>
      </c>
      <c r="J9" s="177"/>
      <c r="K9" s="179"/>
      <c r="L9" s="188"/>
      <c r="M9" s="199"/>
      <c r="N9" s="199"/>
      <c r="O9" s="201"/>
      <c r="P9" s="200"/>
      <c r="Q9" s="121" t="s">
        <v>80</v>
      </c>
      <c r="R9" s="195" t="str">
        <f>VLOOKUP($S9,mapel,VLOOKUP($A$3,'data mapel'!$A$29:$B$55,2)+1)</f>
        <v xml:space="preserve"> </v>
      </c>
      <c r="S9" s="190">
        <v>7</v>
      </c>
      <c r="T9" s="196" t="s">
        <v>3052</v>
      </c>
      <c r="U9" s="200"/>
      <c r="V9" s="191">
        <v>3</v>
      </c>
      <c r="W9" s="192" t="s">
        <v>3053</v>
      </c>
      <c r="X9" s="181"/>
      <c r="Y9" s="181"/>
      <c r="Z9" s="181"/>
      <c r="AA9" s="181"/>
      <c r="AB9" s="181"/>
      <c r="AC9" s="181"/>
      <c r="AD9" s="181"/>
      <c r="AE9" s="181"/>
    </row>
    <row r="10" spans="1:31" ht="15.75" x14ac:dyDescent="0.25">
      <c r="A10" s="56">
        <v>1</v>
      </c>
      <c r="B10" s="57" t="str">
        <f>IF(VLOOKUP($A10,siswa,data!$BP$1+3)=0,"",VLOOKUP($A10,siswa,data!$BP$1+3))</f>
        <v>Agita Ika Lestari</v>
      </c>
      <c r="C10" s="56" t="str">
        <f>IF(VLOOKUP($A10,siswa,data!$BP$1+1)=0,"",VLOOKUP($A10,siswa,data!$BP$1+1))</f>
        <v>0042932828</v>
      </c>
      <c r="D10" s="56" t="str">
        <f>IF(VLOOKUP($A10,siswa,data!$BP$1+2)=0,"",VLOOKUP($A10,siswa,data!$BP$1+2))</f>
        <v>2125</v>
      </c>
      <c r="E10" s="47">
        <v>89</v>
      </c>
      <c r="F10" s="47">
        <v>62</v>
      </c>
      <c r="G10" s="62">
        <f t="shared" ref="G10:G11" si="0">ROUND((E10*$F$3%+F10*$G$3%),0)</f>
        <v>70</v>
      </c>
      <c r="H10" s="213" t="str">
        <f>IF(G10&gt;100,"",IF(G10&gt;=95,"A+",IF(G10&gt;=90,"A",IF(G10&gt;=85,"A-",IF(G10&gt;=80,"B+",IF(G10&gt;=75,"B",IF(G10&gt;=70,"B-",IF(G10&gt;=60,"C",IF(G10&gt;=1,"D","")))))))))</f>
        <v>B-</v>
      </c>
      <c r="I10" s="214" t="str">
        <f>IF(G10&gt;100,"",IF(G10&gt;=95,"A+",IF(G10&gt;=90,"A",IF(G10&gt;=85,"A-",IF(G10&gt;=80,"B+",IF(G10&gt;=75,"B",IF(G10&gt;=70,"B-",IF(G10&gt;=65,"C",IF(G10&gt;=1,"D","")))))))))</f>
        <v>B-</v>
      </c>
      <c r="J10" s="177"/>
      <c r="K10" s="179"/>
      <c r="M10" s="202"/>
      <c r="N10" s="203"/>
      <c r="O10" s="202"/>
      <c r="P10" s="203"/>
      <c r="Q10" s="121" t="s">
        <v>82</v>
      </c>
      <c r="R10" s="195" t="str">
        <f>VLOOKUP($S10,mapel,VLOOKUP($A$3,'data mapel'!$A$29:$B$55,2)+1)</f>
        <v xml:space="preserve"> </v>
      </c>
      <c r="S10" s="190">
        <v>8</v>
      </c>
      <c r="T10" s="196" t="s">
        <v>3054</v>
      </c>
      <c r="U10" s="204"/>
      <c r="V10" s="190"/>
      <c r="W10" s="190" t="s">
        <v>3055</v>
      </c>
    </row>
    <row r="11" spans="1:31" ht="15" customHeight="1" x14ac:dyDescent="0.25">
      <c r="A11" s="56">
        <v>2</v>
      </c>
      <c r="B11" s="57" t="str">
        <f>IF(VLOOKUP($A11,siswa,data!$BP$1+3)=0,"",VLOOKUP($A11,siswa,data!$BP$1+3))</f>
        <v>Anggita Tiyana</v>
      </c>
      <c r="C11" s="56" t="str">
        <f>IF(VLOOKUP($A11,siswa,data!$BP$1+1)=0,"",VLOOKUP($A11,siswa,data!$BP$1+1))</f>
        <v>0054581581</v>
      </c>
      <c r="D11" s="56" t="str">
        <f>IF(VLOOKUP($A11,siswa,data!$BP$1+2)=0,"",VLOOKUP($A11,siswa,data!$BP$1+2))</f>
        <v>2126</v>
      </c>
      <c r="E11" s="47">
        <v>89</v>
      </c>
      <c r="F11" s="47">
        <v>91</v>
      </c>
      <c r="G11" s="62">
        <f t="shared" si="0"/>
        <v>90</v>
      </c>
      <c r="H11" s="213" t="str">
        <f t="shared" ref="H11:H43" si="1">IF(G11&gt;100,"",IF(G11&gt;=95,"A+",IF(G11&gt;=90,"A",IF(G11&gt;=85,"A-",IF(G11&gt;=80,"B+",IF(G11&gt;=75,"B",IF(G11&gt;=70,"B-",IF(G11&gt;=60,"C",IF(G11&gt;=1,"D","")))))))))</f>
        <v>A</v>
      </c>
      <c r="I11" s="214" t="str">
        <f t="shared" ref="I11:I43" si="2">IF(G11&gt;100,"",IF(G11&gt;=95,"A+",IF(G11&gt;=90,"A",IF(G11&gt;=85,"A-",IF(G11&gt;=80,"B+",IF(G11&gt;=75,"B",IF(G11&gt;=70,"B-",IF(G11&gt;=65,"C",IF(G11&gt;=1,"D","")))))))))</f>
        <v>A</v>
      </c>
      <c r="J11" s="177"/>
      <c r="K11" s="179"/>
      <c r="M11" s="205"/>
      <c r="N11" s="203"/>
      <c r="O11" s="206"/>
      <c r="P11" s="203"/>
      <c r="Q11" s="38" t="s">
        <v>83</v>
      </c>
      <c r="R11" s="195" t="str">
        <f>VLOOKUP($S11,mapel,VLOOKUP($A$3,'data mapel'!$A$29:$B$55,2)+1)</f>
        <v xml:space="preserve"> </v>
      </c>
      <c r="S11" s="190">
        <v>9</v>
      </c>
      <c r="T11" s="196" t="s">
        <v>3056</v>
      </c>
      <c r="U11" s="207"/>
      <c r="V11" s="191">
        <v>1</v>
      </c>
      <c r="W11" s="192" t="s">
        <v>3057</v>
      </c>
    </row>
    <row r="12" spans="1:31" ht="15.75" x14ac:dyDescent="0.25">
      <c r="A12" s="56">
        <v>3</v>
      </c>
      <c r="B12" s="57" t="str">
        <f>IF(VLOOKUP($A12,siswa,data!$BP$1+3)=0,"",VLOOKUP($A12,siswa,data!$BP$1+3))</f>
        <v>Arfaksad Haikal Al Faqih</v>
      </c>
      <c r="C12" s="56" t="str">
        <f>IF(VLOOKUP($A12,siswa,data!$BP$1+1)=0,"",VLOOKUP($A12,siswa,data!$BP$1+1))</f>
        <v>0048406540</v>
      </c>
      <c r="D12" s="56" t="str">
        <f>IF(VLOOKUP($A12,siswa,data!$BP$1+2)=0,"",VLOOKUP($A12,siswa,data!$BP$1+2))</f>
        <v>2127</v>
      </c>
      <c r="E12" s="47">
        <v>76</v>
      </c>
      <c r="F12" s="47">
        <v>75</v>
      </c>
      <c r="G12" s="62">
        <f t="shared" ref="G12:G43" si="3">ROUND((E12*$F$3%+F12*$G$3%),0)</f>
        <v>75</v>
      </c>
      <c r="H12" s="213" t="str">
        <f t="shared" si="1"/>
        <v>B</v>
      </c>
      <c r="I12" s="214" t="str">
        <f t="shared" si="2"/>
        <v>B</v>
      </c>
      <c r="J12" s="177"/>
      <c r="K12" s="179"/>
      <c r="M12" s="199"/>
      <c r="N12" s="203"/>
      <c r="O12" s="206"/>
      <c r="P12" s="208"/>
      <c r="Q12" s="38" t="s">
        <v>85</v>
      </c>
      <c r="R12" s="195" t="str">
        <f>VLOOKUP($S12,mapel,VLOOKUP($A$3,'data mapel'!$A$29:$B$55,2)+1)</f>
        <v>Bahasa Jawa</v>
      </c>
      <c r="S12" s="190">
        <v>10</v>
      </c>
      <c r="T12" s="196" t="s">
        <v>3058</v>
      </c>
      <c r="U12" s="209"/>
      <c r="V12" s="191">
        <v>2</v>
      </c>
      <c r="W12" s="192" t="s">
        <v>3059</v>
      </c>
    </row>
    <row r="13" spans="1:31" ht="15.75" x14ac:dyDescent="0.25">
      <c r="A13" s="56">
        <v>4</v>
      </c>
      <c r="B13" s="57" t="str">
        <f>IF(VLOOKUP($A13,siswa,data!$BP$1+3)=0,"",VLOOKUP($A13,siswa,data!$BP$1+3))</f>
        <v>Ayuhana Nurannisa</v>
      </c>
      <c r="C13" s="56" t="str">
        <f>IF(VLOOKUP($A13,siswa,data!$BP$1+1)=0,"",VLOOKUP($A13,siswa,data!$BP$1+1))</f>
        <v>0053816603</v>
      </c>
      <c r="D13" s="56" t="str">
        <f>IF(VLOOKUP($A13,siswa,data!$BP$1+2)=0,"",VLOOKUP($A13,siswa,data!$BP$1+2))</f>
        <v>2128</v>
      </c>
      <c r="E13" s="47">
        <v>91</v>
      </c>
      <c r="F13" s="47">
        <v>90</v>
      </c>
      <c r="G13" s="62">
        <f t="shared" si="3"/>
        <v>90</v>
      </c>
      <c r="H13" s="213" t="str">
        <f t="shared" si="1"/>
        <v>A</v>
      </c>
      <c r="I13" s="214" t="str">
        <f t="shared" si="2"/>
        <v>A</v>
      </c>
      <c r="J13" s="177"/>
      <c r="K13" s="179"/>
      <c r="M13" s="199"/>
      <c r="N13" s="203"/>
      <c r="O13" s="206"/>
      <c r="P13" s="208"/>
      <c r="Q13" s="38" t="s">
        <v>86</v>
      </c>
      <c r="R13" s="195" t="str">
        <f>VLOOKUP($S13,mapel,VLOOKUP($A$3,'data mapel'!$A$29:$B$55,2)+1)</f>
        <v xml:space="preserve"> Basis Data</v>
      </c>
      <c r="S13" s="190">
        <v>11</v>
      </c>
      <c r="T13" s="196" t="s">
        <v>3060</v>
      </c>
      <c r="U13" s="209"/>
      <c r="V13" s="191">
        <v>3</v>
      </c>
      <c r="W13" s="192" t="s">
        <v>3061</v>
      </c>
    </row>
    <row r="14" spans="1:31" ht="15.75" x14ac:dyDescent="0.25">
      <c r="A14" s="56">
        <v>5</v>
      </c>
      <c r="B14" s="57" t="str">
        <f>IF(VLOOKUP($A14,siswa,data!$BP$1+3)=0,"",VLOOKUP($A14,siswa,data!$BP$1+3))</f>
        <v>Davina Adira Purnomo</v>
      </c>
      <c r="C14" s="56" t="str">
        <f>IF(VLOOKUP($A14,siswa,data!$BP$1+1)=0,"",VLOOKUP($A14,siswa,data!$BP$1+1))</f>
        <v>0059518709</v>
      </c>
      <c r="D14" s="56" t="str">
        <f>IF(VLOOKUP($A14,siswa,data!$BP$1+2)=0,"",VLOOKUP($A14,siswa,data!$BP$1+2))</f>
        <v>2129</v>
      </c>
      <c r="E14" s="47">
        <v>96</v>
      </c>
      <c r="F14" s="47">
        <v>89</v>
      </c>
      <c r="G14" s="62">
        <f t="shared" si="3"/>
        <v>91</v>
      </c>
      <c r="H14" s="213" t="str">
        <f t="shared" si="1"/>
        <v>A</v>
      </c>
      <c r="I14" s="214" t="str">
        <f t="shared" si="2"/>
        <v>A</v>
      </c>
      <c r="J14" s="177"/>
      <c r="K14" s="179"/>
      <c r="M14" s="199"/>
      <c r="N14" s="203"/>
      <c r="O14" s="206"/>
      <c r="P14" s="208"/>
      <c r="Q14" s="38" t="s">
        <v>87</v>
      </c>
      <c r="R14" s="195" t="str">
        <f>VLOOKUP($S14,mapel,VLOOKUP($A$3,'data mapel'!$A$29:$B$55,2)+1)</f>
        <v>Pemrograman Berorientasi Objek</v>
      </c>
      <c r="S14" s="190">
        <v>12</v>
      </c>
      <c r="T14" s="196" t="s">
        <v>3062</v>
      </c>
      <c r="U14" s="209"/>
      <c r="V14" s="190"/>
      <c r="W14" s="190" t="s">
        <v>3063</v>
      </c>
    </row>
    <row r="15" spans="1:31" ht="15.75" x14ac:dyDescent="0.25">
      <c r="A15" s="56">
        <v>6</v>
      </c>
      <c r="B15" s="57" t="str">
        <f>IF(VLOOKUP($A15,siswa,data!$BP$1+3)=0,"",VLOOKUP($A15,siswa,data!$BP$1+3))</f>
        <v>Devi Aprilia</v>
      </c>
      <c r="C15" s="56" t="str">
        <f>IF(VLOOKUP($A15,siswa,data!$BP$1+1)=0,"",VLOOKUP($A15,siswa,data!$BP$1+1))</f>
        <v>0043097484</v>
      </c>
      <c r="D15" s="56" t="str">
        <f>IF(VLOOKUP($A15,siswa,data!$BP$1+2)=0,"",VLOOKUP($A15,siswa,data!$BP$1+2))</f>
        <v>2130</v>
      </c>
      <c r="E15" s="47">
        <v>81</v>
      </c>
      <c r="F15" s="47">
        <v>75</v>
      </c>
      <c r="G15" s="62">
        <f t="shared" si="3"/>
        <v>77</v>
      </c>
      <c r="H15" s="213" t="str">
        <f t="shared" si="1"/>
        <v>B</v>
      </c>
      <c r="I15" s="214" t="str">
        <f t="shared" si="2"/>
        <v>B</v>
      </c>
      <c r="J15" s="177"/>
      <c r="K15" s="179"/>
      <c r="M15" s="199"/>
      <c r="N15" s="203"/>
      <c r="O15" s="206"/>
      <c r="P15" s="208"/>
      <c r="Q15" s="38" t="s">
        <v>88</v>
      </c>
      <c r="R15" s="195" t="str">
        <f>VLOOKUP($S15,mapel,VLOOKUP($A$3,'data mapel'!$A$29:$B$55,2)+1)</f>
        <v>Pemrograman Web dan Perangkat Bergerak</v>
      </c>
      <c r="S15" s="190">
        <v>13</v>
      </c>
      <c r="T15" s="196" t="s">
        <v>3064</v>
      </c>
      <c r="U15" s="209"/>
      <c r="V15" s="191">
        <v>1</v>
      </c>
      <c r="W15" s="192" t="s">
        <v>3065</v>
      </c>
    </row>
    <row r="16" spans="1:31" ht="15.75" x14ac:dyDescent="0.25">
      <c r="A16" s="56">
        <v>7</v>
      </c>
      <c r="B16" s="57" t="str">
        <f>IF(VLOOKUP($A16,siswa,data!$BP$1+3)=0,"",VLOOKUP($A16,siswa,data!$BP$1+3))</f>
        <v>Dina Windri Aningrum</v>
      </c>
      <c r="C16" s="56" t="str">
        <f>IF(VLOOKUP($A16,siswa,data!$BP$1+1)=0,"",VLOOKUP($A16,siswa,data!$BP$1+1))</f>
        <v>0053575244</v>
      </c>
      <c r="D16" s="56" t="str">
        <f>IF(VLOOKUP($A16,siswa,data!$BP$1+2)=0,"",VLOOKUP($A16,siswa,data!$BP$1+2))</f>
        <v>2131</v>
      </c>
      <c r="E16" s="47">
        <v>86</v>
      </c>
      <c r="F16" s="47">
        <v>88</v>
      </c>
      <c r="G16" s="62">
        <f t="shared" si="3"/>
        <v>87</v>
      </c>
      <c r="H16" s="213" t="str">
        <f t="shared" si="1"/>
        <v>A-</v>
      </c>
      <c r="I16" s="214" t="str">
        <f t="shared" si="2"/>
        <v>A-</v>
      </c>
      <c r="M16" s="199"/>
      <c r="N16" s="203"/>
      <c r="O16" s="206"/>
      <c r="P16" s="208"/>
      <c r="Q16" s="38" t="s">
        <v>89</v>
      </c>
      <c r="R16" s="195" t="str">
        <f>VLOOKUP($S16,mapel,VLOOKUP($A$3,'data mapel'!$A$29:$B$55,2)+1)</f>
        <v>Produk Kreatif dan Kewirausahaan</v>
      </c>
      <c r="S16" s="190">
        <v>14</v>
      </c>
      <c r="T16" s="196" t="s">
        <v>3066</v>
      </c>
      <c r="U16" s="209"/>
      <c r="V16" s="191">
        <v>2</v>
      </c>
      <c r="W16" s="192" t="s">
        <v>3067</v>
      </c>
    </row>
    <row r="17" spans="1:23" ht="15" customHeight="1" x14ac:dyDescent="0.25">
      <c r="A17" s="56">
        <v>8</v>
      </c>
      <c r="B17" s="57" t="str">
        <f>IF(VLOOKUP($A17,siswa,data!$BP$1+3)=0,"",VLOOKUP($A17,siswa,data!$BP$1+3))</f>
        <v>Egin Selvianna</v>
      </c>
      <c r="C17" s="56" t="str">
        <f>IF(VLOOKUP($A17,siswa,data!$BP$1+1)=0,"",VLOOKUP($A17,siswa,data!$BP$1+1))</f>
        <v>0046896435</v>
      </c>
      <c r="D17" s="56" t="str">
        <f>IF(VLOOKUP($A17,siswa,data!$BP$1+2)=0,"",VLOOKUP($A17,siswa,data!$BP$1+2))</f>
        <v>2132</v>
      </c>
      <c r="E17" s="47">
        <v>89</v>
      </c>
      <c r="F17" s="47">
        <v>62</v>
      </c>
      <c r="G17" s="62">
        <f t="shared" si="3"/>
        <v>70</v>
      </c>
      <c r="H17" s="213" t="str">
        <f t="shared" si="1"/>
        <v>B-</v>
      </c>
      <c r="I17" s="214" t="str">
        <f t="shared" si="2"/>
        <v>B-</v>
      </c>
      <c r="M17" s="205"/>
      <c r="N17" s="203"/>
      <c r="O17" s="206"/>
      <c r="P17" s="208"/>
      <c r="Q17" s="38" t="s">
        <v>90</v>
      </c>
      <c r="R17" s="195" t="str">
        <f>VLOOKUP($S17,mapel,VLOOKUP($A$3,'data mapel'!$A$29:$B$55,2)+1)</f>
        <v xml:space="preserve"> </v>
      </c>
      <c r="S17" s="190">
        <v>15</v>
      </c>
      <c r="T17" s="196" t="s">
        <v>3068</v>
      </c>
      <c r="U17" s="209"/>
      <c r="V17" s="191">
        <v>3</v>
      </c>
      <c r="W17" s="192" t="s">
        <v>3069</v>
      </c>
    </row>
    <row r="18" spans="1:23" ht="15.75" x14ac:dyDescent="0.25">
      <c r="A18" s="56">
        <v>9</v>
      </c>
      <c r="B18" s="57" t="str">
        <f>IF(VLOOKUP($A18,siswa,data!$BP$1+3)=0,"",VLOOKUP($A18,siswa,data!$BP$1+3))</f>
        <v>Elsa Fernanda Saputri</v>
      </c>
      <c r="C18" s="56" t="str">
        <f>IF(VLOOKUP($A18,siswa,data!$BP$1+1)=0,"",VLOOKUP($A18,siswa,data!$BP$1+1))</f>
        <v>0053577910</v>
      </c>
      <c r="D18" s="56" t="str">
        <f>IF(VLOOKUP($A18,siswa,data!$BP$1+2)=0,"",VLOOKUP($A18,siswa,data!$BP$1+2))</f>
        <v>2133</v>
      </c>
      <c r="E18" s="47">
        <v>91</v>
      </c>
      <c r="F18" s="47">
        <v>86</v>
      </c>
      <c r="G18" s="62">
        <f t="shared" si="3"/>
        <v>88</v>
      </c>
      <c r="H18" s="213" t="str">
        <f t="shared" si="1"/>
        <v>A-</v>
      </c>
      <c r="I18" s="214" t="str">
        <f t="shared" si="2"/>
        <v>A-</v>
      </c>
      <c r="M18" s="199"/>
      <c r="N18" s="203"/>
      <c r="O18" s="206"/>
      <c r="P18" s="208"/>
      <c r="Q18" s="38" t="s">
        <v>91</v>
      </c>
      <c r="R18" s="195" t="str">
        <f>VLOOKUP($S18,mapel,VLOOKUP($A$3,'data mapel'!$A$29:$B$55,2)+1)</f>
        <v xml:space="preserve"> </v>
      </c>
      <c r="S18" s="190">
        <v>16</v>
      </c>
      <c r="T18" s="196" t="s">
        <v>3070</v>
      </c>
      <c r="U18" s="209"/>
      <c r="V18" s="190"/>
      <c r="W18" s="190" t="s">
        <v>3071</v>
      </c>
    </row>
    <row r="19" spans="1:23" ht="15.75" x14ac:dyDescent="0.25">
      <c r="A19" s="56">
        <v>10</v>
      </c>
      <c r="B19" s="57" t="str">
        <f>IF(VLOOKUP($A19,siswa,data!$BP$1+3)=0,"",VLOOKUP($A19,siswa,data!$BP$1+3))</f>
        <v>Erna Vatikasari</v>
      </c>
      <c r="C19" s="56" t="str">
        <f>IF(VLOOKUP($A19,siswa,data!$BP$1+1)=0,"",VLOOKUP($A19,siswa,data!$BP$1+1))</f>
        <v>0053578578</v>
      </c>
      <c r="D19" s="56" t="str">
        <f>IF(VLOOKUP($A19,siswa,data!$BP$1+2)=0,"",VLOOKUP($A19,siswa,data!$BP$1+2))</f>
        <v>2134</v>
      </c>
      <c r="E19" s="47">
        <v>91</v>
      </c>
      <c r="F19" s="47">
        <v>91</v>
      </c>
      <c r="G19" s="62">
        <f t="shared" si="3"/>
        <v>91</v>
      </c>
      <c r="H19" s="213" t="str">
        <f t="shared" si="1"/>
        <v>A</v>
      </c>
      <c r="I19" s="214" t="str">
        <f t="shared" si="2"/>
        <v>A</v>
      </c>
      <c r="M19" s="199"/>
      <c r="N19" s="203"/>
      <c r="O19" s="206"/>
      <c r="P19" s="208"/>
      <c r="Q19" s="38" t="s">
        <v>92</v>
      </c>
      <c r="R19" s="195" t="str">
        <f>VLOOKUP($S19,mapel,VLOOKUP($A$3,'data mapel'!$A$29:$B$55,2)+1)</f>
        <v xml:space="preserve"> </v>
      </c>
      <c r="S19" s="190">
        <v>17</v>
      </c>
      <c r="T19" s="196" t="s">
        <v>3072</v>
      </c>
      <c r="U19" s="209"/>
      <c r="V19" s="191">
        <v>1</v>
      </c>
      <c r="W19" s="192" t="s">
        <v>3073</v>
      </c>
    </row>
    <row r="20" spans="1:23" ht="15.75" x14ac:dyDescent="0.25">
      <c r="A20" s="56">
        <v>11</v>
      </c>
      <c r="B20" s="57" t="str">
        <f>IF(VLOOKUP($A20,siswa,data!$BP$1+3)=0,"",VLOOKUP($A20,siswa,data!$BP$1+3))</f>
        <v>Fatin Fauziana</v>
      </c>
      <c r="C20" s="56" t="str">
        <f>IF(VLOOKUP($A20,siswa,data!$BP$1+1)=0,"",VLOOKUP($A20,siswa,data!$BP$1+1))</f>
        <v>0052792136</v>
      </c>
      <c r="D20" s="56" t="str">
        <f>IF(VLOOKUP($A20,siswa,data!$BP$1+2)=0,"",VLOOKUP($A20,siswa,data!$BP$1+2))</f>
        <v>2135</v>
      </c>
      <c r="E20" s="47">
        <v>81</v>
      </c>
      <c r="F20" s="47">
        <v>76</v>
      </c>
      <c r="G20" s="62">
        <f t="shared" si="3"/>
        <v>78</v>
      </c>
      <c r="H20" s="213" t="str">
        <f t="shared" si="1"/>
        <v>B</v>
      </c>
      <c r="I20" s="214" t="str">
        <f t="shared" si="2"/>
        <v>B</v>
      </c>
      <c r="M20" s="210"/>
      <c r="N20" s="203"/>
      <c r="O20" s="206"/>
      <c r="P20" s="208"/>
      <c r="Q20" s="38" t="s">
        <v>93</v>
      </c>
      <c r="R20" s="195" t="str">
        <f>VLOOKUP($S20,mapel,VLOOKUP($A$3,'data mapel'!$A$29:$B$55,2)+1)</f>
        <v xml:space="preserve"> </v>
      </c>
      <c r="S20" s="190">
        <v>18</v>
      </c>
      <c r="T20" s="196" t="s">
        <v>3074</v>
      </c>
      <c r="U20" s="209"/>
      <c r="V20" s="191">
        <v>2</v>
      </c>
      <c r="W20" s="192" t="s">
        <v>3075</v>
      </c>
    </row>
    <row r="21" spans="1:23" ht="15" customHeight="1" x14ac:dyDescent="0.25">
      <c r="A21" s="56">
        <v>12</v>
      </c>
      <c r="B21" s="57" t="str">
        <f>IF(VLOOKUP($A21,siswa,data!$BP$1+3)=0,"",VLOOKUP($A21,siswa,data!$BP$1+3))</f>
        <v>Feni Anastasia</v>
      </c>
      <c r="C21" s="56" t="str">
        <f>IF(VLOOKUP($A21,siswa,data!$BP$1+1)=0,"",VLOOKUP($A21,siswa,data!$BP$1+1))</f>
        <v>0053578373</v>
      </c>
      <c r="D21" s="56" t="str">
        <f>IF(VLOOKUP($A21,siswa,data!$BP$1+2)=0,"",VLOOKUP($A21,siswa,data!$BP$1+2))</f>
        <v>2136</v>
      </c>
      <c r="E21" s="47">
        <v>96</v>
      </c>
      <c r="F21" s="47">
        <v>86</v>
      </c>
      <c r="G21" s="62">
        <f t="shared" si="3"/>
        <v>89</v>
      </c>
      <c r="H21" s="213" t="str">
        <f t="shared" si="1"/>
        <v>A-</v>
      </c>
      <c r="I21" s="214" t="str">
        <f t="shared" si="2"/>
        <v>A-</v>
      </c>
      <c r="M21" s="205"/>
      <c r="N21" s="203"/>
      <c r="O21" s="206"/>
      <c r="P21" s="208"/>
      <c r="Q21" s="38" t="s">
        <v>94</v>
      </c>
      <c r="T21" s="196" t="s">
        <v>3076</v>
      </c>
      <c r="U21" s="209"/>
      <c r="V21" s="191">
        <v>3</v>
      </c>
      <c r="W21" s="192" t="s">
        <v>3077</v>
      </c>
    </row>
    <row r="22" spans="1:23" ht="15.75" x14ac:dyDescent="0.25">
      <c r="A22" s="56">
        <v>13</v>
      </c>
      <c r="B22" s="57" t="str">
        <f>IF(VLOOKUP($A22,siswa,data!$BP$1+3)=0,"",VLOOKUP($A22,siswa,data!$BP$1+3))</f>
        <v>Fitra Dany Herlambang</v>
      </c>
      <c r="C22" s="56" t="str">
        <f>IF(VLOOKUP($A22,siswa,data!$BP$1+1)=0,"",VLOOKUP($A22,siswa,data!$BP$1+1))</f>
        <v>0053479663</v>
      </c>
      <c r="D22" s="56" t="str">
        <f>IF(VLOOKUP($A22,siswa,data!$BP$1+2)=0,"",VLOOKUP($A22,siswa,data!$BP$1+2))</f>
        <v>2137</v>
      </c>
      <c r="E22" s="47">
        <v>89</v>
      </c>
      <c r="F22" s="47">
        <v>86</v>
      </c>
      <c r="G22" s="62">
        <f t="shared" si="3"/>
        <v>87</v>
      </c>
      <c r="H22" s="213" t="str">
        <f t="shared" si="1"/>
        <v>A-</v>
      </c>
      <c r="I22" s="214" t="str">
        <f t="shared" si="2"/>
        <v>A-</v>
      </c>
      <c r="M22" s="199"/>
      <c r="N22" s="203"/>
      <c r="O22" s="206"/>
      <c r="P22" s="208"/>
      <c r="Q22" s="38" t="s">
        <v>95</v>
      </c>
      <c r="T22" s="196" t="s">
        <v>3078</v>
      </c>
      <c r="U22" s="209"/>
    </row>
    <row r="23" spans="1:23" ht="15.75" customHeight="1" x14ac:dyDescent="0.25">
      <c r="A23" s="56">
        <v>14</v>
      </c>
      <c r="B23" s="57" t="str">
        <f>IF(VLOOKUP($A23,siswa,data!$BP$1+3)=0,"",VLOOKUP($A23,siswa,data!$BP$1+3))</f>
        <v>Frighyta Listhira Antoino</v>
      </c>
      <c r="C23" s="56" t="str">
        <f>IF(VLOOKUP($A23,siswa,data!$BP$1+1)=0,"",VLOOKUP($A23,siswa,data!$BP$1+1))</f>
        <v>0053815955</v>
      </c>
      <c r="D23" s="56" t="str">
        <f>IF(VLOOKUP($A23,siswa,data!$BP$1+2)=0,"",VLOOKUP($A23,siswa,data!$BP$1+2))</f>
        <v>2138</v>
      </c>
      <c r="E23" s="47">
        <v>97</v>
      </c>
      <c r="F23" s="47">
        <v>76</v>
      </c>
      <c r="G23" s="62">
        <f t="shared" si="3"/>
        <v>82</v>
      </c>
      <c r="H23" s="213" t="str">
        <f t="shared" si="1"/>
        <v>B+</v>
      </c>
      <c r="I23" s="214" t="str">
        <f t="shared" si="2"/>
        <v>B+</v>
      </c>
      <c r="M23" s="199"/>
      <c r="N23" s="203"/>
      <c r="O23" s="206"/>
      <c r="P23" s="208"/>
      <c r="Q23" s="38" t="s">
        <v>96</v>
      </c>
      <c r="T23" s="196" t="s">
        <v>3079</v>
      </c>
      <c r="U23" s="209"/>
    </row>
    <row r="24" spans="1:23" ht="15.75" customHeight="1" x14ac:dyDescent="0.25">
      <c r="A24" s="56">
        <v>15</v>
      </c>
      <c r="B24" s="57" t="str">
        <f>IF(VLOOKUP($A24,siswa,data!$BP$1+3)=0,"",VLOOKUP($A24,siswa,data!$BP$1+3))</f>
        <v>Giska Yelin Grasella</v>
      </c>
      <c r="C24" s="56" t="str">
        <f>IF(VLOOKUP($A24,siswa,data!$BP$1+1)=0,"",VLOOKUP($A24,siswa,data!$BP$1+1))</f>
        <v>0053577918</v>
      </c>
      <c r="D24" s="56" t="str">
        <f>IF(VLOOKUP($A24,siswa,data!$BP$1+2)=0,"",VLOOKUP($A24,siswa,data!$BP$1+2))</f>
        <v>2139</v>
      </c>
      <c r="E24" s="47">
        <v>96</v>
      </c>
      <c r="F24" s="47">
        <v>86</v>
      </c>
      <c r="G24" s="62">
        <f t="shared" si="3"/>
        <v>89</v>
      </c>
      <c r="H24" s="213" t="str">
        <f t="shared" si="1"/>
        <v>A-</v>
      </c>
      <c r="I24" s="214" t="str">
        <f t="shared" si="2"/>
        <v>A-</v>
      </c>
      <c r="M24" s="199"/>
      <c r="N24" s="203"/>
      <c r="O24" s="206"/>
      <c r="P24" s="208"/>
      <c r="Q24" s="38" t="s">
        <v>97</v>
      </c>
      <c r="T24" s="196" t="s">
        <v>3080</v>
      </c>
      <c r="U24" s="209"/>
    </row>
    <row r="25" spans="1:23" ht="15.75" customHeight="1" x14ac:dyDescent="0.25">
      <c r="A25" s="56">
        <v>16</v>
      </c>
      <c r="B25" s="57" t="str">
        <f>IF(VLOOKUP($A25,siswa,data!$BP$1+3)=0,"",VLOOKUP($A25,siswa,data!$BP$1+3))</f>
        <v>Hana Pratiwi</v>
      </c>
      <c r="C25" s="56" t="str">
        <f>IF(VLOOKUP($A25,siswa,data!$BP$1+1)=0,"",VLOOKUP($A25,siswa,data!$BP$1+1))</f>
        <v>0046898573</v>
      </c>
      <c r="D25" s="56" t="str">
        <f>IF(VLOOKUP($A25,siswa,data!$BP$1+2)=0,"",VLOOKUP($A25,siswa,data!$BP$1+2))</f>
        <v>2140</v>
      </c>
      <c r="E25" s="47">
        <v>86</v>
      </c>
      <c r="F25" s="47">
        <v>88</v>
      </c>
      <c r="G25" s="62">
        <f t="shared" si="3"/>
        <v>87</v>
      </c>
      <c r="H25" s="213" t="str">
        <f t="shared" si="1"/>
        <v>A-</v>
      </c>
      <c r="I25" s="214" t="str">
        <f t="shared" si="2"/>
        <v>A-</v>
      </c>
      <c r="M25" s="199"/>
      <c r="N25" s="203"/>
      <c r="O25" s="206"/>
      <c r="P25" s="208"/>
      <c r="Q25" s="38" t="s">
        <v>98</v>
      </c>
      <c r="T25" s="196" t="s">
        <v>3081</v>
      </c>
      <c r="U25" s="209"/>
    </row>
    <row r="26" spans="1:23" ht="15.75" customHeight="1" x14ac:dyDescent="0.25">
      <c r="A26" s="56">
        <v>17</v>
      </c>
      <c r="B26" s="57" t="str">
        <f>IF(VLOOKUP($A26,siswa,data!$BP$1+3)=0,"",VLOOKUP($A26,siswa,data!$BP$1+3))</f>
        <v>Ilham Yusa Mahendra</v>
      </c>
      <c r="C26" s="56" t="str">
        <f>IF(VLOOKUP($A26,siswa,data!$BP$1+1)=0,"",VLOOKUP($A26,siswa,data!$BP$1+1))</f>
        <v>0052553907</v>
      </c>
      <c r="D26" s="56" t="str">
        <f>IF(VLOOKUP($A26,siswa,data!$BP$1+2)=0,"",VLOOKUP($A26,siswa,data!$BP$1+2))</f>
        <v>2141</v>
      </c>
      <c r="E26" s="47">
        <v>94</v>
      </c>
      <c r="F26" s="47">
        <v>68</v>
      </c>
      <c r="G26" s="62">
        <f t="shared" si="3"/>
        <v>76</v>
      </c>
      <c r="H26" s="213" t="str">
        <f t="shared" si="1"/>
        <v>B</v>
      </c>
      <c r="I26" s="214" t="str">
        <f t="shared" si="2"/>
        <v>B</v>
      </c>
      <c r="M26" s="199"/>
      <c r="N26" s="203"/>
      <c r="O26" s="206"/>
      <c r="P26" s="208"/>
      <c r="Q26" s="38" t="s">
        <v>99</v>
      </c>
      <c r="T26" s="196" t="s">
        <v>3082</v>
      </c>
      <c r="U26" s="209"/>
    </row>
    <row r="27" spans="1:23" ht="15.75" customHeight="1" x14ac:dyDescent="0.25">
      <c r="A27" s="56">
        <v>18</v>
      </c>
      <c r="B27" s="57" t="str">
        <f>IF(VLOOKUP($A27,siswa,data!$BP$1+3)=0,"",VLOOKUP($A27,siswa,data!$BP$1+3))</f>
        <v>Inahya Warohmah</v>
      </c>
      <c r="C27" s="56" t="str">
        <f>IF(VLOOKUP($A27,siswa,data!$BP$1+1)=0,"",VLOOKUP($A27,siswa,data!$BP$1+1))</f>
        <v>0053575318</v>
      </c>
      <c r="D27" s="56" t="str">
        <f>IF(VLOOKUP($A27,siswa,data!$BP$1+2)=0,"",VLOOKUP($A27,siswa,data!$BP$1+2))</f>
        <v>2142</v>
      </c>
      <c r="E27" s="47">
        <v>86</v>
      </c>
      <c r="F27" s="47">
        <v>87</v>
      </c>
      <c r="G27" s="62">
        <f t="shared" si="3"/>
        <v>87</v>
      </c>
      <c r="H27" s="213" t="str">
        <f t="shared" si="1"/>
        <v>A-</v>
      </c>
      <c r="I27" s="214" t="str">
        <f t="shared" si="2"/>
        <v>A-</v>
      </c>
      <c r="M27" s="199"/>
      <c r="N27" s="203"/>
      <c r="O27" s="206"/>
      <c r="P27" s="208"/>
      <c r="Q27" s="38" t="s">
        <v>100</v>
      </c>
      <c r="T27" s="196" t="s">
        <v>3083</v>
      </c>
      <c r="U27" s="209"/>
    </row>
    <row r="28" spans="1:23" ht="15.75" customHeight="1" x14ac:dyDescent="0.25">
      <c r="A28" s="56">
        <v>19</v>
      </c>
      <c r="B28" s="57" t="str">
        <f>IF(VLOOKUP($A28,siswa,data!$BP$1+3)=0,"",VLOOKUP($A28,siswa,data!$BP$1+3))</f>
        <v>Intan Puspitashari</v>
      </c>
      <c r="C28" s="56" t="str">
        <f>IF(VLOOKUP($A28,siswa,data!$BP$1+1)=0,"",VLOOKUP($A28,siswa,data!$BP$1+1))</f>
        <v>0047262279</v>
      </c>
      <c r="D28" s="56" t="str">
        <f>IF(VLOOKUP($A28,siswa,data!$BP$1+2)=0,"",VLOOKUP($A28,siswa,data!$BP$1+2))</f>
        <v>2143</v>
      </c>
      <c r="E28" s="47">
        <v>79</v>
      </c>
      <c r="F28" s="47">
        <v>73</v>
      </c>
      <c r="G28" s="62">
        <f t="shared" si="3"/>
        <v>75</v>
      </c>
      <c r="H28" s="213" t="str">
        <f t="shared" si="1"/>
        <v>B</v>
      </c>
      <c r="I28" s="214" t="str">
        <f t="shared" si="2"/>
        <v>B</v>
      </c>
      <c r="M28" s="199"/>
      <c r="N28" s="203"/>
      <c r="O28" s="206"/>
      <c r="P28" s="208"/>
      <c r="Q28" s="38" t="s">
        <v>101</v>
      </c>
      <c r="T28" s="196" t="s">
        <v>3084</v>
      </c>
      <c r="U28" s="209"/>
    </row>
    <row r="29" spans="1:23" ht="15.75" customHeight="1" x14ac:dyDescent="0.25">
      <c r="A29" s="56">
        <v>20</v>
      </c>
      <c r="B29" s="57" t="str">
        <f>IF(VLOOKUP($A29,siswa,data!$BP$1+3)=0,"",VLOOKUP($A29,siswa,data!$BP$1+3))</f>
        <v>Jihan Pahera Alpia</v>
      </c>
      <c r="C29" s="56" t="str">
        <f>IF(VLOOKUP($A29,siswa,data!$BP$1+1)=0,"",VLOOKUP($A29,siswa,data!$BP$1+1))</f>
        <v>0047849002</v>
      </c>
      <c r="D29" s="56" t="str">
        <f>IF(VLOOKUP($A29,siswa,data!$BP$1+2)=0,"",VLOOKUP($A29,siswa,data!$BP$1+2))</f>
        <v>2144</v>
      </c>
      <c r="E29" s="47">
        <v>81</v>
      </c>
      <c r="F29" s="47">
        <v>87</v>
      </c>
      <c r="G29" s="62">
        <f t="shared" si="3"/>
        <v>85</v>
      </c>
      <c r="H29" s="213" t="str">
        <f t="shared" si="1"/>
        <v>A-</v>
      </c>
      <c r="I29" s="214" t="str">
        <f t="shared" si="2"/>
        <v>A-</v>
      </c>
      <c r="J29" s="177"/>
      <c r="K29" s="177"/>
      <c r="L29" s="177"/>
      <c r="M29" s="177"/>
      <c r="N29" s="177"/>
      <c r="T29" s="196" t="s">
        <v>3085</v>
      </c>
    </row>
    <row r="30" spans="1:23" ht="15.75" customHeight="1" x14ac:dyDescent="0.25">
      <c r="A30" s="56">
        <v>21</v>
      </c>
      <c r="B30" s="57" t="str">
        <f>IF(VLOOKUP($A30,siswa,data!$BP$1+3)=0,"",VLOOKUP($A30,siswa,data!$BP$1+3))</f>
        <v>Khrismonika Ariyani</v>
      </c>
      <c r="C30" s="56" t="str">
        <f>IF(VLOOKUP($A30,siswa,data!$BP$1+1)=0,"",VLOOKUP($A30,siswa,data!$BP$1+1))</f>
        <v>0044553372</v>
      </c>
      <c r="D30" s="56" t="str">
        <f>IF(VLOOKUP($A30,siswa,data!$BP$1+2)=0,"",VLOOKUP($A30,siswa,data!$BP$1+2))</f>
        <v>2145</v>
      </c>
      <c r="E30" s="47">
        <v>86</v>
      </c>
      <c r="F30" s="47">
        <v>85</v>
      </c>
      <c r="G30" s="62">
        <f t="shared" si="3"/>
        <v>85</v>
      </c>
      <c r="H30" s="213" t="str">
        <f t="shared" si="1"/>
        <v>A-</v>
      </c>
      <c r="I30" s="214" t="str">
        <f t="shared" si="2"/>
        <v>A-</v>
      </c>
      <c r="J30" s="177" t="s">
        <v>10</v>
      </c>
      <c r="K30" s="177"/>
      <c r="L30" s="177"/>
      <c r="M30" s="177"/>
      <c r="N30" s="177"/>
      <c r="T30" s="196" t="s">
        <v>3086</v>
      </c>
    </row>
    <row r="31" spans="1:23" ht="15.75" customHeight="1" x14ac:dyDescent="0.25">
      <c r="A31" s="56">
        <v>22</v>
      </c>
      <c r="B31" s="57" t="str">
        <f>IF(VLOOKUP($A31,siswa,data!$BP$1+3)=0,"",VLOOKUP($A31,siswa,data!$BP$1+3))</f>
        <v>Mila Rosita Dewi</v>
      </c>
      <c r="C31" s="56" t="str">
        <f>IF(VLOOKUP($A31,siswa,data!$BP$1+1)=0,"",VLOOKUP($A31,siswa,data!$BP$1+1))</f>
        <v>0044151041</v>
      </c>
      <c r="D31" s="56" t="str">
        <f>IF(VLOOKUP($A31,siswa,data!$BP$1+2)=0,"",VLOOKUP($A31,siswa,data!$BP$1+2))</f>
        <v>2146</v>
      </c>
      <c r="E31" s="47">
        <v>81</v>
      </c>
      <c r="F31" s="47">
        <v>65</v>
      </c>
      <c r="G31" s="62">
        <f t="shared" si="3"/>
        <v>70</v>
      </c>
      <c r="H31" s="213" t="str">
        <f t="shared" si="1"/>
        <v>B-</v>
      </c>
      <c r="I31" s="214" t="str">
        <f t="shared" si="2"/>
        <v>B-</v>
      </c>
      <c r="J31" s="177" t="s">
        <v>10</v>
      </c>
      <c r="K31" s="177"/>
      <c r="L31" s="177"/>
      <c r="M31" s="177"/>
      <c r="N31" s="177"/>
      <c r="T31" s="196" t="s">
        <v>3087</v>
      </c>
    </row>
    <row r="32" spans="1:23" ht="15.75" customHeight="1" x14ac:dyDescent="0.25">
      <c r="A32" s="56">
        <v>23</v>
      </c>
      <c r="B32" s="57" t="str">
        <f>IF(VLOOKUP($A32,siswa,data!$BP$1+3)=0,"",VLOOKUP($A32,siswa,data!$BP$1+3))</f>
        <v>Muhammad Yusuf</v>
      </c>
      <c r="C32" s="56" t="str">
        <f>IF(VLOOKUP($A32,siswa,data!$BP$1+1)=0,"",VLOOKUP($A32,siswa,data!$BP$1+1))</f>
        <v>0046896467</v>
      </c>
      <c r="D32" s="56" t="str">
        <f>IF(VLOOKUP($A32,siswa,data!$BP$1+2)=0,"",VLOOKUP($A32,siswa,data!$BP$1+2))</f>
        <v>2147</v>
      </c>
      <c r="E32" s="47">
        <v>79</v>
      </c>
      <c r="F32" s="47">
        <v>66</v>
      </c>
      <c r="G32" s="62">
        <f t="shared" si="3"/>
        <v>70</v>
      </c>
      <c r="H32" s="213" t="str">
        <f t="shared" si="1"/>
        <v>B-</v>
      </c>
      <c r="I32" s="214" t="str">
        <f t="shared" si="2"/>
        <v>B-</v>
      </c>
      <c r="J32" s="177" t="s">
        <v>10</v>
      </c>
      <c r="K32" s="193"/>
      <c r="L32" s="177"/>
      <c r="M32" s="177"/>
      <c r="N32" s="177"/>
      <c r="T32" s="196" t="s">
        <v>3088</v>
      </c>
    </row>
    <row r="33" spans="1:20" ht="15.75" customHeight="1" x14ac:dyDescent="0.25">
      <c r="A33" s="56">
        <v>24</v>
      </c>
      <c r="B33" s="57" t="str">
        <f>IF(VLOOKUP($A33,siswa,data!$BP$1+3)=0,"",VLOOKUP($A33,siswa,data!$BP$1+3))</f>
        <v>Nadhifa Az Zahra Prastikasari</v>
      </c>
      <c r="C33" s="56" t="str">
        <f>IF(VLOOKUP($A33,siswa,data!$BP$1+1)=0,"",VLOOKUP($A33,siswa,data!$BP$1+1))</f>
        <v>0047181076</v>
      </c>
      <c r="D33" s="56" t="str">
        <f>IF(VLOOKUP($A33,siswa,data!$BP$1+2)=0,"",VLOOKUP($A33,siswa,data!$BP$1+2))</f>
        <v>2148</v>
      </c>
      <c r="E33" s="47">
        <v>91</v>
      </c>
      <c r="F33" s="47">
        <v>76</v>
      </c>
      <c r="G33" s="62">
        <f t="shared" si="3"/>
        <v>81</v>
      </c>
      <c r="H33" s="213" t="str">
        <f t="shared" si="1"/>
        <v>B+</v>
      </c>
      <c r="I33" s="214" t="str">
        <f t="shared" si="2"/>
        <v>B+</v>
      </c>
      <c r="J33" s="177" t="s">
        <v>10</v>
      </c>
      <c r="K33" s="177"/>
      <c r="L33" s="177"/>
      <c r="M33" s="177"/>
      <c r="N33" s="177"/>
      <c r="T33" s="196" t="s">
        <v>3089</v>
      </c>
    </row>
    <row r="34" spans="1:20" ht="15.75" customHeight="1" x14ac:dyDescent="0.25">
      <c r="A34" s="56">
        <v>25</v>
      </c>
      <c r="B34" s="57" t="str">
        <f>IF(VLOOKUP($A34,siswa,data!$BP$1+3)=0,"",VLOOKUP($A34,siswa,data!$BP$1+3))</f>
        <v>Natasya Amelita Putri</v>
      </c>
      <c r="C34" s="56" t="str">
        <f>IF(VLOOKUP($A34,siswa,data!$BP$1+1)=0,"",VLOOKUP($A34,siswa,data!$BP$1+1))</f>
        <v>0045815522</v>
      </c>
      <c r="D34" s="56" t="str">
        <f>IF(VLOOKUP($A34,siswa,data!$BP$1+2)=0,"",VLOOKUP($A34,siswa,data!$BP$1+2))</f>
        <v>2149</v>
      </c>
      <c r="E34" s="47">
        <v>89</v>
      </c>
      <c r="F34" s="47">
        <v>89</v>
      </c>
      <c r="G34" s="62">
        <f t="shared" si="3"/>
        <v>89</v>
      </c>
      <c r="H34" s="213" t="str">
        <f t="shared" si="1"/>
        <v>A-</v>
      </c>
      <c r="I34" s="214" t="str">
        <f t="shared" si="2"/>
        <v>A-</v>
      </c>
      <c r="J34" s="177" t="s">
        <v>10</v>
      </c>
      <c r="K34" s="194"/>
      <c r="L34" s="177"/>
      <c r="M34" s="177"/>
      <c r="N34" s="177"/>
      <c r="T34" s="196" t="s">
        <v>3090</v>
      </c>
    </row>
    <row r="35" spans="1:20" ht="15.75" customHeight="1" x14ac:dyDescent="0.25">
      <c r="A35" s="56">
        <v>26</v>
      </c>
      <c r="B35" s="57" t="str">
        <f>IF(VLOOKUP($A35,siswa,data!$BP$1+3)=0,"",VLOOKUP($A35,siswa,data!$BP$1+3))</f>
        <v>Noval Divi Syaputra</v>
      </c>
      <c r="C35" s="56" t="str">
        <f>IF(VLOOKUP($A35,siswa,data!$BP$1+1)=0,"",VLOOKUP($A35,siswa,data!$BP$1+1))</f>
        <v>0047125556</v>
      </c>
      <c r="D35" s="56" t="str">
        <f>IF(VLOOKUP($A35,siswa,data!$BP$1+2)=0,"",VLOOKUP($A35,siswa,data!$BP$1+2))</f>
        <v>2150</v>
      </c>
      <c r="E35" s="47">
        <v>91</v>
      </c>
      <c r="F35" s="47">
        <v>89</v>
      </c>
      <c r="G35" s="62">
        <f t="shared" si="3"/>
        <v>90</v>
      </c>
      <c r="H35" s="213" t="str">
        <f t="shared" si="1"/>
        <v>A</v>
      </c>
      <c r="I35" s="214" t="str">
        <f t="shared" si="2"/>
        <v>A</v>
      </c>
      <c r="J35" s="177" t="s">
        <v>10</v>
      </c>
      <c r="K35" s="177"/>
      <c r="L35" s="177"/>
      <c r="M35" s="177"/>
      <c r="N35" s="177"/>
      <c r="T35" s="196" t="s">
        <v>3091</v>
      </c>
    </row>
    <row r="36" spans="1:20" ht="15.75" customHeight="1" x14ac:dyDescent="0.25">
      <c r="A36" s="56">
        <v>27</v>
      </c>
      <c r="B36" s="57" t="str">
        <f>IF(VLOOKUP($A36,siswa,data!$BP$1+3)=0,"",VLOOKUP($A36,siswa,data!$BP$1+3))</f>
        <v>Rahma Tiya Cantika</v>
      </c>
      <c r="C36" s="56" t="str">
        <f>IF(VLOOKUP($A36,siswa,data!$BP$1+1)=0,"",VLOOKUP($A36,siswa,data!$BP$1+1))</f>
        <v>0047130861</v>
      </c>
      <c r="D36" s="56" t="str">
        <f>IF(VLOOKUP($A36,siswa,data!$BP$1+2)=0,"",VLOOKUP($A36,siswa,data!$BP$1+2))</f>
        <v>2151</v>
      </c>
      <c r="E36" s="47">
        <v>94</v>
      </c>
      <c r="F36" s="47">
        <v>89</v>
      </c>
      <c r="G36" s="62">
        <f t="shared" si="3"/>
        <v>91</v>
      </c>
      <c r="H36" s="213" t="str">
        <f t="shared" si="1"/>
        <v>A</v>
      </c>
      <c r="I36" s="214" t="str">
        <f t="shared" si="2"/>
        <v>A</v>
      </c>
      <c r="J36" s="177" t="s">
        <v>10</v>
      </c>
      <c r="K36" s="193"/>
      <c r="L36" s="177"/>
      <c r="M36" s="177"/>
      <c r="N36" s="177"/>
      <c r="T36" s="196" t="s">
        <v>3092</v>
      </c>
    </row>
    <row r="37" spans="1:20" ht="15.75" customHeight="1" x14ac:dyDescent="0.25">
      <c r="A37" s="56">
        <v>28</v>
      </c>
      <c r="B37" s="57" t="str">
        <f>IF(VLOOKUP($A37,siswa,data!$BP$1+3)=0,"",VLOOKUP($A37,siswa,data!$BP$1+3))</f>
        <v>Reyana Sispani</v>
      </c>
      <c r="C37" s="56" t="str">
        <f>IF(VLOOKUP($A37,siswa,data!$BP$1+1)=0,"",VLOOKUP($A37,siswa,data!$BP$1+1))</f>
        <v>0046896362</v>
      </c>
      <c r="D37" s="56" t="str">
        <f>IF(VLOOKUP($A37,siswa,data!$BP$1+2)=0,"",VLOOKUP($A37,siswa,data!$BP$1+2))</f>
        <v>2152</v>
      </c>
      <c r="E37" s="47">
        <v>94</v>
      </c>
      <c r="F37" s="47">
        <v>89</v>
      </c>
      <c r="G37" s="62">
        <f t="shared" si="3"/>
        <v>91</v>
      </c>
      <c r="H37" s="213" t="str">
        <f t="shared" si="1"/>
        <v>A</v>
      </c>
      <c r="I37" s="214" t="str">
        <f t="shared" si="2"/>
        <v>A</v>
      </c>
      <c r="J37" s="177" t="s">
        <v>10</v>
      </c>
      <c r="K37" s="177"/>
      <c r="L37" s="177"/>
      <c r="M37" s="177"/>
      <c r="N37" s="177"/>
      <c r="T37" s="196" t="s">
        <v>3093</v>
      </c>
    </row>
    <row r="38" spans="1:20" ht="15.75" customHeight="1" x14ac:dyDescent="0.25">
      <c r="A38" s="56">
        <v>29</v>
      </c>
      <c r="B38" s="57" t="str">
        <f>IF(VLOOKUP($A38,siswa,data!$BP$1+3)=0,"",VLOOKUP($A38,siswa,data!$BP$1+3))</f>
        <v>Royan Siti Maftuhah</v>
      </c>
      <c r="C38" s="56" t="str">
        <f>IF(VLOOKUP($A38,siswa,data!$BP$1+1)=0,"",VLOOKUP($A38,siswa,data!$BP$1+1))</f>
        <v>0048698496</v>
      </c>
      <c r="D38" s="56" t="str">
        <f>IF(VLOOKUP($A38,siswa,data!$BP$1+2)=0,"",VLOOKUP($A38,siswa,data!$BP$1+2))</f>
        <v>2153</v>
      </c>
      <c r="E38" s="47">
        <v>86</v>
      </c>
      <c r="F38" s="47">
        <v>78</v>
      </c>
      <c r="G38" s="62">
        <f t="shared" si="3"/>
        <v>80</v>
      </c>
      <c r="H38" s="213" t="str">
        <f t="shared" si="1"/>
        <v>B+</v>
      </c>
      <c r="I38" s="214" t="str">
        <f t="shared" si="2"/>
        <v>B+</v>
      </c>
      <c r="J38" s="177" t="s">
        <v>10</v>
      </c>
      <c r="K38" s="194"/>
      <c r="L38" s="177"/>
      <c r="M38" s="177"/>
      <c r="N38" s="177"/>
      <c r="T38" s="196" t="s">
        <v>3094</v>
      </c>
    </row>
    <row r="39" spans="1:20" ht="15.75" customHeight="1" x14ac:dyDescent="0.25">
      <c r="A39" s="56">
        <v>30</v>
      </c>
      <c r="B39" s="57" t="str">
        <f>IF(VLOOKUP($A39,siswa,data!$BP$1+3)=0,"",VLOOKUP($A39,siswa,data!$BP$1+3))</f>
        <v>Sabrina Faradiba Setiawan</v>
      </c>
      <c r="C39" s="56" t="str">
        <f>IF(VLOOKUP($A39,siswa,data!$BP$1+1)=0,"",VLOOKUP($A39,siswa,data!$BP$1+1))</f>
        <v>0053575249</v>
      </c>
      <c r="D39" s="56" t="str">
        <f>IF(VLOOKUP($A39,siswa,data!$BP$1+2)=0,"",VLOOKUP($A39,siswa,data!$BP$1+2))</f>
        <v>2154</v>
      </c>
      <c r="E39" s="47">
        <v>91</v>
      </c>
      <c r="F39" s="47">
        <v>90</v>
      </c>
      <c r="G39" s="62">
        <f t="shared" si="3"/>
        <v>90</v>
      </c>
      <c r="H39" s="213" t="str">
        <f t="shared" si="1"/>
        <v>A</v>
      </c>
      <c r="I39" s="214" t="str">
        <f t="shared" si="2"/>
        <v>A</v>
      </c>
      <c r="J39" s="177" t="s">
        <v>10</v>
      </c>
      <c r="K39" s="177"/>
      <c r="L39" s="177"/>
      <c r="M39" s="177"/>
      <c r="N39" s="177"/>
      <c r="T39" s="196" t="s">
        <v>3095</v>
      </c>
    </row>
    <row r="40" spans="1:20" ht="15.75" customHeight="1" x14ac:dyDescent="0.25">
      <c r="A40" s="56">
        <v>31</v>
      </c>
      <c r="B40" s="57" t="str">
        <f>IF(VLOOKUP($A40,siswa,data!$BP$1+3)=0,"",VLOOKUP($A40,siswa,data!$BP$1+3))</f>
        <v>Shifa Khoirunnisa</v>
      </c>
      <c r="C40" s="56" t="str">
        <f>IF(VLOOKUP($A40,siswa,data!$BP$1+1)=0,"",VLOOKUP($A40,siswa,data!$BP$1+1))</f>
        <v>0053578029</v>
      </c>
      <c r="D40" s="56" t="str">
        <f>IF(VLOOKUP($A40,siswa,data!$BP$1+2)=0,"",VLOOKUP($A40,siswa,data!$BP$1+2))</f>
        <v>2155</v>
      </c>
      <c r="E40" s="47">
        <v>96</v>
      </c>
      <c r="F40" s="47">
        <v>90</v>
      </c>
      <c r="G40" s="62">
        <f t="shared" si="3"/>
        <v>92</v>
      </c>
      <c r="H40" s="213" t="str">
        <f t="shared" si="1"/>
        <v>A</v>
      </c>
      <c r="I40" s="214" t="str">
        <f t="shared" si="2"/>
        <v>A</v>
      </c>
      <c r="J40" s="177" t="s">
        <v>10</v>
      </c>
      <c r="K40" s="193"/>
      <c r="L40" s="177"/>
      <c r="M40" s="177"/>
      <c r="N40" s="177"/>
      <c r="T40" s="196" t="s">
        <v>3031</v>
      </c>
    </row>
    <row r="41" spans="1:20" ht="15.75" customHeight="1" x14ac:dyDescent="0.25">
      <c r="A41" s="56">
        <v>32</v>
      </c>
      <c r="B41" s="57" t="str">
        <f>IF(VLOOKUP($A41,siswa,data!$BP$1+3)=0,"",VLOOKUP($A41,siswa,data!$BP$1+3))</f>
        <v>Ulfiyana 'Ainurahmawati</v>
      </c>
      <c r="C41" s="56" t="str">
        <f>IF(VLOOKUP($A41,siswa,data!$BP$1+1)=0,"",VLOOKUP($A41,siswa,data!$BP$1+1))</f>
        <v>0053772772</v>
      </c>
      <c r="D41" s="56" t="str">
        <f>IF(VLOOKUP($A41,siswa,data!$BP$1+2)=0,"",VLOOKUP($A41,siswa,data!$BP$1+2))</f>
        <v>2156</v>
      </c>
      <c r="E41" s="47">
        <v>79</v>
      </c>
      <c r="F41" s="47">
        <v>89</v>
      </c>
      <c r="G41" s="62">
        <f t="shared" si="3"/>
        <v>86</v>
      </c>
      <c r="H41" s="213" t="str">
        <f t="shared" si="1"/>
        <v>A-</v>
      </c>
      <c r="I41" s="214" t="str">
        <f t="shared" si="2"/>
        <v>A-</v>
      </c>
      <c r="J41" s="177" t="s">
        <v>10</v>
      </c>
      <c r="K41" s="177"/>
      <c r="L41" s="177"/>
      <c r="M41" s="177"/>
      <c r="N41" s="177"/>
      <c r="T41" s="196" t="s">
        <v>3096</v>
      </c>
    </row>
    <row r="42" spans="1:20" ht="15.75" customHeight="1" x14ac:dyDescent="0.25">
      <c r="A42" s="56">
        <v>33</v>
      </c>
      <c r="B42" s="57" t="str">
        <f>IF(VLOOKUP($A42,siswa,data!$BP$1+3)=0,"",VLOOKUP($A42,siswa,data!$BP$1+3))</f>
        <v>Usman Maulana</v>
      </c>
      <c r="C42" s="56" t="str">
        <f>IF(VLOOKUP($A42,siswa,data!$BP$1+1)=0,"",VLOOKUP($A42,siswa,data!$BP$1+1))</f>
        <v>0055269078</v>
      </c>
      <c r="D42" s="56" t="str">
        <f>IF(VLOOKUP($A42,siswa,data!$BP$1+2)=0,"",VLOOKUP($A42,siswa,data!$BP$1+2))</f>
        <v>2157</v>
      </c>
      <c r="E42" s="47">
        <v>86</v>
      </c>
      <c r="F42" s="47">
        <v>65</v>
      </c>
      <c r="G42" s="62">
        <f t="shared" si="3"/>
        <v>71</v>
      </c>
      <c r="H42" s="213" t="str">
        <f t="shared" si="1"/>
        <v>B-</v>
      </c>
      <c r="I42" s="214" t="str">
        <f t="shared" si="2"/>
        <v>B-</v>
      </c>
      <c r="J42" s="177" t="s">
        <v>10</v>
      </c>
      <c r="K42" s="194"/>
      <c r="L42" s="177"/>
      <c r="M42" s="177"/>
      <c r="N42" s="177"/>
      <c r="T42" s="196" t="s">
        <v>3097</v>
      </c>
    </row>
    <row r="43" spans="1:20" ht="15.75" customHeight="1" x14ac:dyDescent="0.25">
      <c r="A43" s="56">
        <v>34</v>
      </c>
      <c r="B43" s="57" t="str">
        <f>IF(VLOOKUP($A43,siswa,data!$BP$1+3)=0,"",VLOOKUP($A43,siswa,data!$BP$1+3))</f>
        <v>Vincent Adrian Kian</v>
      </c>
      <c r="C43" s="56" t="str">
        <f>IF(VLOOKUP($A43,siswa,data!$BP$1+1)=0,"",VLOOKUP($A43,siswa,data!$BP$1+1))</f>
        <v>0041897189</v>
      </c>
      <c r="D43" s="56" t="str">
        <f>IF(VLOOKUP($A43,siswa,data!$BP$1+2)=0,"",VLOOKUP($A43,siswa,data!$BP$1+2))</f>
        <v>2158</v>
      </c>
      <c r="E43" s="47">
        <v>81</v>
      </c>
      <c r="F43" s="47">
        <v>88</v>
      </c>
      <c r="G43" s="62">
        <f t="shared" si="3"/>
        <v>86</v>
      </c>
      <c r="H43" s="213" t="str">
        <f t="shared" si="1"/>
        <v>A-</v>
      </c>
      <c r="I43" s="214" t="str">
        <f t="shared" si="2"/>
        <v>A-</v>
      </c>
      <c r="J43" s="177" t="s">
        <v>10</v>
      </c>
      <c r="K43" s="177"/>
      <c r="L43" s="177"/>
      <c r="M43" s="177"/>
      <c r="N43" s="177"/>
      <c r="T43" s="196" t="s">
        <v>3098</v>
      </c>
    </row>
    <row r="44" spans="1:20" ht="15.75" customHeight="1" x14ac:dyDescent="0.25">
      <c r="A44" s="56">
        <v>35</v>
      </c>
      <c r="B44" s="57" t="str">
        <f>IF(VLOOKUP($A44,siswa,data!$BP$1+3)=0,"",VLOOKUP($A44,siswa,data!$BP$1+3))</f>
        <v>Widianti</v>
      </c>
      <c r="C44" s="56" t="str">
        <f>IF(VLOOKUP($A44,siswa,data!$BP$1+1)=0,"",VLOOKUP($A44,siswa,data!$BP$1+1))</f>
        <v>0053876950</v>
      </c>
      <c r="D44" s="56" t="str">
        <f>IF(VLOOKUP($A44,siswa,data!$BP$1+2)=0,"",VLOOKUP($A44,siswa,data!$BP$1+2))</f>
        <v>2160</v>
      </c>
      <c r="E44" s="47">
        <v>89</v>
      </c>
      <c r="F44" s="47">
        <v>88</v>
      </c>
      <c r="G44" s="62">
        <f t="shared" ref="G44:G45" si="4">ROUND((E44*$F$3%+F44*$G$3%),0)</f>
        <v>88</v>
      </c>
      <c r="H44" s="213" t="str">
        <f t="shared" ref="H44:H45" si="5">IF(G44&gt;100,"",IF(G44&gt;=95,"A+",IF(G44&gt;=90,"A",IF(G44&gt;=85,"A-",IF(G44&gt;=80,"B+",IF(G44&gt;=75,"B",IF(G44&gt;=70,"B-",IF(G44&gt;=60,"C",IF(G44&gt;=1,"D","")))))))))</f>
        <v>A-</v>
      </c>
      <c r="I44" s="214" t="str">
        <f t="shared" ref="I44:I45" si="6">IF(G44&gt;100,"",IF(G44&gt;=95,"A+",IF(G44&gt;=90,"A",IF(G44&gt;=85,"A-",IF(G44&gt;=80,"B+",IF(G44&gt;=75,"B",IF(G44&gt;=70,"B-",IF(G44&gt;=65,"C",IF(G44&gt;=1,"D","")))))))))</f>
        <v>A-</v>
      </c>
      <c r="J44" s="177" t="s">
        <v>10</v>
      </c>
      <c r="K44" s="193"/>
      <c r="L44" s="177"/>
      <c r="M44" s="177"/>
      <c r="N44" s="177"/>
      <c r="T44" s="196" t="s">
        <v>3099</v>
      </c>
    </row>
    <row r="45" spans="1:20" ht="15.75" customHeight="1" x14ac:dyDescent="0.25">
      <c r="A45" s="56">
        <v>36</v>
      </c>
      <c r="B45" s="57" t="str">
        <f>IF(VLOOKUP($A45,siswa,data!$BP$1+3)=0,"",VLOOKUP($A45,siswa,data!$BP$1+3))</f>
        <v/>
      </c>
      <c r="C45" s="56" t="str">
        <f>IF(VLOOKUP($A45,siswa,data!$BP$1+1)=0,"",VLOOKUP($A45,siswa,data!$BP$1+1))</f>
        <v/>
      </c>
      <c r="D45" s="56" t="str">
        <f>IF(VLOOKUP($A45,siswa,data!$BP$1+2)=0,"",VLOOKUP($A45,siswa,data!$BP$1+2))</f>
        <v/>
      </c>
      <c r="E45" s="47"/>
      <c r="F45" s="47"/>
      <c r="G45" s="62">
        <f t="shared" si="4"/>
        <v>0</v>
      </c>
      <c r="H45" s="213" t="str">
        <f t="shared" si="5"/>
        <v/>
      </c>
      <c r="I45" s="214" t="str">
        <f t="shared" si="6"/>
        <v/>
      </c>
      <c r="J45" s="177"/>
      <c r="K45" s="193"/>
      <c r="L45" s="177"/>
      <c r="M45" s="177"/>
      <c r="N45" s="177"/>
      <c r="T45" s="196"/>
    </row>
    <row r="46" spans="1:20" ht="15.75" customHeight="1" x14ac:dyDescent="0.25">
      <c r="A46" s="219"/>
      <c r="B46" s="219" t="s">
        <v>3100</v>
      </c>
      <c r="C46" s="220"/>
      <c r="D46" s="220"/>
      <c r="E46" s="221">
        <f>MAX(E10:E44)</f>
        <v>97</v>
      </c>
      <c r="F46" s="221">
        <f>MAX(F10:F44)</f>
        <v>91</v>
      </c>
      <c r="G46" s="221">
        <f>MAX(G10:G44)</f>
        <v>92</v>
      </c>
      <c r="H46" s="36"/>
      <c r="I46" s="36"/>
      <c r="J46" s="177" t="s">
        <v>10</v>
      </c>
      <c r="K46" s="177"/>
      <c r="L46" s="177"/>
      <c r="M46" s="177"/>
      <c r="N46" s="177"/>
      <c r="T46" s="196" t="s">
        <v>3101</v>
      </c>
    </row>
    <row r="47" spans="1:20" ht="15.75" customHeight="1" x14ac:dyDescent="0.25">
      <c r="A47" s="56"/>
      <c r="B47" s="56" t="s">
        <v>3102</v>
      </c>
      <c r="C47" s="57"/>
      <c r="D47" s="57"/>
      <c r="E47" s="222">
        <f>MIN(E10:E44)</f>
        <v>76</v>
      </c>
      <c r="F47" s="222">
        <f>MIN(F10:F44)</f>
        <v>62</v>
      </c>
      <c r="G47" s="222">
        <f>MIN(G10:G44)</f>
        <v>70</v>
      </c>
      <c r="J47" s="177" t="s">
        <v>10</v>
      </c>
      <c r="K47" s="194"/>
      <c r="L47" s="177"/>
      <c r="M47" s="177"/>
      <c r="N47" s="177"/>
      <c r="T47" s="196" t="s">
        <v>3103</v>
      </c>
    </row>
    <row r="48" spans="1:20" ht="15.75" customHeight="1" x14ac:dyDescent="0.25">
      <c r="A48" s="56"/>
      <c r="B48" s="56" t="s">
        <v>3104</v>
      </c>
      <c r="C48" s="57"/>
      <c r="D48" s="57"/>
      <c r="E48" s="223">
        <f>AVERAGE(E10:E44)</f>
        <v>87.914285714285711</v>
      </c>
      <c r="F48" s="223">
        <f>AVERAGE(F10:F44)</f>
        <v>81.657142857142858</v>
      </c>
      <c r="G48" s="223">
        <f>AVERAGE(G10:G44)</f>
        <v>83.542857142857144</v>
      </c>
      <c r="J48" s="177" t="s">
        <v>10</v>
      </c>
      <c r="K48" s="177"/>
      <c r="L48" s="177"/>
      <c r="M48" s="177"/>
      <c r="N48" s="177"/>
      <c r="T48" s="196" t="s">
        <v>3105</v>
      </c>
    </row>
    <row r="49" spans="6:20" ht="15.75" customHeight="1" x14ac:dyDescent="0.25">
      <c r="J49" s="177" t="s">
        <v>10</v>
      </c>
      <c r="K49" s="193"/>
      <c r="L49" s="177"/>
      <c r="M49" s="177"/>
      <c r="N49" s="177"/>
      <c r="T49" s="196" t="s">
        <v>3106</v>
      </c>
    </row>
    <row r="50" spans="6:20" ht="15.75" customHeight="1" x14ac:dyDescent="0.25">
      <c r="J50" s="177" t="s">
        <v>10</v>
      </c>
      <c r="K50" s="177"/>
      <c r="L50" s="177"/>
      <c r="M50" s="177"/>
      <c r="N50" s="177"/>
      <c r="T50" s="196" t="s">
        <v>3107</v>
      </c>
    </row>
    <row r="51" spans="6:20" ht="15.75" customHeight="1" x14ac:dyDescent="0.25">
      <c r="F51" s="36"/>
      <c r="G51" s="36"/>
      <c r="T51" s="196" t="s">
        <v>3108</v>
      </c>
    </row>
    <row r="52" spans="6:20" ht="15.75" customHeight="1" x14ac:dyDescent="0.25">
      <c r="F52" s="36"/>
      <c r="G52" s="36"/>
      <c r="T52" s="196" t="s">
        <v>3109</v>
      </c>
    </row>
    <row r="53" spans="6:20" ht="15.75" customHeight="1" x14ac:dyDescent="0.25">
      <c r="F53" s="36"/>
      <c r="G53" s="36"/>
      <c r="T53" s="196" t="s">
        <v>3110</v>
      </c>
    </row>
    <row r="54" spans="6:20" ht="15.75" customHeight="1" x14ac:dyDescent="0.25">
      <c r="F54" s="36"/>
      <c r="G54" s="36"/>
      <c r="H54" s="36"/>
      <c r="I54" s="36"/>
      <c r="T54" s="196" t="s">
        <v>3111</v>
      </c>
    </row>
    <row r="55" spans="6:20" ht="15.75" customHeight="1" x14ac:dyDescent="0.25">
      <c r="F55" s="36"/>
      <c r="G55" s="36"/>
      <c r="H55" s="36"/>
      <c r="I55" s="36"/>
      <c r="T55" s="196" t="s">
        <v>3112</v>
      </c>
    </row>
    <row r="56" spans="6:20" ht="15.75" customHeight="1" x14ac:dyDescent="0.25">
      <c r="F56" s="36"/>
      <c r="G56" s="36"/>
      <c r="H56" s="36"/>
      <c r="I56" s="36"/>
      <c r="L56" s="197"/>
      <c r="O56" s="197"/>
      <c r="P56" s="197"/>
      <c r="T56" s="196" t="s">
        <v>3113</v>
      </c>
    </row>
    <row r="57" spans="6:20" ht="15.75" customHeight="1" x14ac:dyDescent="0.25">
      <c r="F57" s="36"/>
      <c r="G57" s="36"/>
      <c r="H57" s="36"/>
      <c r="I57" s="36"/>
      <c r="L57" s="197"/>
      <c r="O57" s="197"/>
      <c r="P57" s="197"/>
      <c r="T57" s="196" t="s">
        <v>3114</v>
      </c>
    </row>
    <row r="58" spans="6:20" ht="15.75" customHeight="1" x14ac:dyDescent="0.25">
      <c r="F58" s="36"/>
      <c r="G58" s="36"/>
      <c r="H58" s="36"/>
      <c r="I58" s="36"/>
      <c r="L58" s="197"/>
      <c r="O58" s="197"/>
      <c r="P58" s="197"/>
      <c r="T58" s="196" t="s">
        <v>3115</v>
      </c>
    </row>
    <row r="59" spans="6:20" ht="15.75" customHeight="1" x14ac:dyDescent="0.25">
      <c r="F59" s="36"/>
      <c r="G59" s="36"/>
      <c r="H59" s="36"/>
      <c r="I59" s="36"/>
      <c r="L59" s="197"/>
      <c r="O59" s="197"/>
      <c r="P59" s="197"/>
      <c r="T59" s="196" t="s">
        <v>3116</v>
      </c>
    </row>
    <row r="60" spans="6:20" ht="15.75" customHeight="1" x14ac:dyDescent="0.25">
      <c r="F60" s="36"/>
      <c r="G60" s="36"/>
      <c r="H60" s="36"/>
      <c r="I60" s="36"/>
      <c r="L60" s="197"/>
      <c r="O60" s="197"/>
      <c r="P60" s="197"/>
      <c r="T60" s="196" t="s">
        <v>3117</v>
      </c>
    </row>
    <row r="61" spans="6:20" ht="15.75" customHeight="1" x14ac:dyDescent="0.25">
      <c r="F61" s="36"/>
      <c r="G61" s="36"/>
      <c r="H61" s="36"/>
      <c r="I61" s="36"/>
      <c r="L61" s="197"/>
      <c r="P61" s="197"/>
    </row>
    <row r="62" spans="6:20" ht="15.75" customHeight="1" x14ac:dyDescent="0.25">
      <c r="F62" s="36"/>
      <c r="G62" s="36"/>
      <c r="H62" s="36"/>
      <c r="I62" s="36"/>
      <c r="L62" s="197"/>
      <c r="O62" s="197"/>
      <c r="P62" s="197"/>
    </row>
    <row r="63" spans="6:20" ht="15.75" customHeight="1" x14ac:dyDescent="0.25">
      <c r="F63" s="36"/>
      <c r="G63" s="36"/>
      <c r="H63" s="36"/>
      <c r="I63" s="36"/>
      <c r="L63" s="197"/>
      <c r="O63" s="197"/>
      <c r="P63" s="197"/>
    </row>
    <row r="64" spans="6:20" ht="15.75" customHeight="1" x14ac:dyDescent="0.25">
      <c r="F64" s="36"/>
      <c r="G64" s="36"/>
      <c r="H64" s="36"/>
      <c r="I64" s="36"/>
      <c r="L64" s="197"/>
      <c r="O64" s="197"/>
      <c r="P64" s="197"/>
    </row>
    <row r="65" spans="6:16" ht="15.75" customHeight="1" x14ac:dyDescent="0.25">
      <c r="F65" s="36"/>
      <c r="G65" s="36"/>
      <c r="H65" s="36"/>
      <c r="I65" s="36"/>
      <c r="P65" s="197"/>
    </row>
    <row r="66" spans="6:16" ht="15.75" customHeight="1" x14ac:dyDescent="0.25">
      <c r="F66" s="36"/>
      <c r="G66" s="36"/>
      <c r="H66" s="36"/>
      <c r="I66" s="36"/>
      <c r="P66" s="197"/>
    </row>
    <row r="67" spans="6:16" ht="15.75" customHeight="1" x14ac:dyDescent="0.25">
      <c r="F67" s="36"/>
      <c r="G67" s="36"/>
      <c r="H67" s="36"/>
      <c r="I67" s="36"/>
      <c r="P67" s="197"/>
    </row>
    <row r="68" spans="6:16" ht="15.75" customHeight="1" x14ac:dyDescent="0.25">
      <c r="F68" s="36"/>
      <c r="G68" s="36"/>
      <c r="H68" s="36"/>
      <c r="I68" s="36"/>
      <c r="P68" s="197"/>
    </row>
    <row r="69" spans="6:16" ht="15.75" customHeight="1" x14ac:dyDescent="0.25">
      <c r="F69" s="36"/>
      <c r="G69" s="36"/>
      <c r="H69" s="36"/>
      <c r="I69" s="36"/>
      <c r="P69" s="197"/>
    </row>
    <row r="70" spans="6:16" ht="15.75" customHeight="1" x14ac:dyDescent="0.25">
      <c r="F70" s="36"/>
      <c r="G70" s="36"/>
      <c r="H70" s="36"/>
      <c r="I70" s="36"/>
      <c r="P70" s="197"/>
    </row>
    <row r="71" spans="6:16" ht="15.75" customHeight="1" x14ac:dyDescent="0.25">
      <c r="F71" s="36"/>
      <c r="G71" s="36"/>
      <c r="H71" s="36"/>
      <c r="I71" s="36"/>
      <c r="P71" s="197"/>
    </row>
    <row r="72" spans="6:16" ht="15.75" customHeight="1" x14ac:dyDescent="0.25">
      <c r="F72" s="36"/>
      <c r="G72" s="36"/>
      <c r="H72" s="36"/>
      <c r="I72" s="36"/>
      <c r="P72" s="197"/>
    </row>
    <row r="73" spans="6:16" ht="15.75" customHeight="1" x14ac:dyDescent="0.25">
      <c r="F73" s="36"/>
      <c r="G73" s="36"/>
      <c r="H73" s="36"/>
      <c r="I73" s="36"/>
      <c r="P73" s="197"/>
    </row>
    <row r="74" spans="6:16" ht="15.75" customHeight="1" x14ac:dyDescent="0.25">
      <c r="F74" s="36"/>
      <c r="G74" s="36"/>
      <c r="H74" s="36"/>
      <c r="I74" s="36"/>
      <c r="P74" s="197"/>
    </row>
    <row r="75" spans="6:16" ht="15.75" customHeight="1" x14ac:dyDescent="0.25">
      <c r="F75" s="36"/>
      <c r="G75" s="36"/>
      <c r="H75" s="36"/>
      <c r="I75" s="36"/>
      <c r="P75" s="197"/>
    </row>
    <row r="76" spans="6:16" ht="15.75" customHeight="1" x14ac:dyDescent="0.25">
      <c r="F76" s="36"/>
      <c r="G76" s="36"/>
      <c r="H76" s="36"/>
      <c r="I76" s="36"/>
      <c r="P76" s="197"/>
    </row>
    <row r="77" spans="6:16" ht="15.75" customHeight="1" x14ac:dyDescent="0.25">
      <c r="F77" s="36"/>
      <c r="G77" s="36"/>
      <c r="H77" s="36"/>
      <c r="I77" s="36"/>
      <c r="P77" s="197"/>
    </row>
    <row r="78" spans="6:16" ht="15.75" customHeight="1" x14ac:dyDescent="0.25">
      <c r="F78" s="36"/>
      <c r="G78" s="36"/>
      <c r="H78" s="36"/>
      <c r="I78" s="36"/>
      <c r="P78" s="197"/>
    </row>
    <row r="79" spans="6:16" ht="15.75" customHeight="1" x14ac:dyDescent="0.25">
      <c r="F79" s="36"/>
      <c r="G79" s="36"/>
      <c r="H79" s="36"/>
      <c r="I79" s="36"/>
      <c r="P79" s="197"/>
    </row>
    <row r="80" spans="6:16" ht="15.75" customHeight="1" x14ac:dyDescent="0.25">
      <c r="F80" s="36"/>
      <c r="G80" s="36"/>
      <c r="H80" s="36"/>
      <c r="I80" s="36"/>
      <c r="P80" s="197"/>
    </row>
    <row r="81" spans="6:16" ht="15.75" customHeight="1" x14ac:dyDescent="0.25">
      <c r="F81" s="36"/>
      <c r="G81" s="36"/>
      <c r="H81" s="36"/>
      <c r="I81" s="36"/>
      <c r="P81" s="197"/>
    </row>
    <row r="82" spans="6:16" x14ac:dyDescent="0.25">
      <c r="F82" s="36"/>
      <c r="G82" s="36"/>
      <c r="H82" s="36"/>
      <c r="I82" s="36"/>
      <c r="P82" s="197"/>
    </row>
    <row r="83" spans="6:16" ht="15.75" customHeight="1" x14ac:dyDescent="0.25">
      <c r="F83" s="36"/>
      <c r="G83" s="36"/>
      <c r="H83" s="36"/>
      <c r="I83" s="36"/>
    </row>
    <row r="84" spans="6:16" ht="15.75" customHeight="1" x14ac:dyDescent="0.25">
      <c r="F84" s="36"/>
      <c r="G84" s="36"/>
      <c r="H84" s="36"/>
      <c r="I84" s="36"/>
    </row>
    <row r="85" spans="6:16" ht="15.75" customHeight="1" x14ac:dyDescent="0.25">
      <c r="F85" s="36"/>
      <c r="G85" s="36"/>
      <c r="H85" s="36"/>
      <c r="I85" s="36"/>
    </row>
    <row r="86" spans="6:16" ht="15.75" customHeight="1" x14ac:dyDescent="0.25">
      <c r="F86" s="36"/>
      <c r="G86" s="36"/>
      <c r="H86" s="36"/>
      <c r="I86" s="36"/>
    </row>
    <row r="87" spans="6:16" ht="15.75" customHeight="1" x14ac:dyDescent="0.25">
      <c r="F87" s="36"/>
      <c r="G87" s="36"/>
      <c r="H87" s="36"/>
      <c r="I87" s="36"/>
    </row>
    <row r="88" spans="6:16" ht="15.75" customHeight="1" x14ac:dyDescent="0.25">
      <c r="F88" s="36"/>
      <c r="G88" s="36"/>
      <c r="H88" s="36"/>
      <c r="I88" s="36"/>
    </row>
    <row r="89" spans="6:16" ht="15.75" customHeight="1" x14ac:dyDescent="0.25">
      <c r="F89" s="36"/>
      <c r="G89" s="36"/>
      <c r="H89" s="36"/>
      <c r="I89" s="36"/>
    </row>
    <row r="90" spans="6:16" ht="15.75" customHeight="1" x14ac:dyDescent="0.25">
      <c r="F90" s="36"/>
      <c r="G90" s="36"/>
      <c r="H90" s="36"/>
      <c r="I90" s="36"/>
    </row>
    <row r="91" spans="6:16" ht="15.75" customHeight="1" x14ac:dyDescent="0.25">
      <c r="F91" s="36"/>
      <c r="G91" s="36"/>
      <c r="H91" s="36"/>
      <c r="I91" s="36"/>
    </row>
    <row r="92" spans="6:16" ht="15.75" customHeight="1" x14ac:dyDescent="0.25">
      <c r="F92" s="36"/>
      <c r="G92" s="36"/>
      <c r="H92" s="36"/>
      <c r="I92" s="36"/>
    </row>
    <row r="93" spans="6:16" ht="15.75" customHeight="1" x14ac:dyDescent="0.25">
      <c r="F93" s="36"/>
      <c r="G93" s="36"/>
      <c r="H93" s="36"/>
      <c r="I93" s="36"/>
    </row>
    <row r="94" spans="6:16" ht="15.75" customHeight="1" x14ac:dyDescent="0.25">
      <c r="F94" s="36"/>
      <c r="G94" s="36"/>
      <c r="H94" s="36"/>
      <c r="I94" s="36"/>
    </row>
    <row r="95" spans="6:16" ht="15.75" customHeight="1" x14ac:dyDescent="0.25">
      <c r="F95" s="36"/>
      <c r="G95" s="36"/>
      <c r="H95" s="36"/>
      <c r="I95" s="36"/>
    </row>
    <row r="96" spans="6:16" ht="15.75" customHeight="1" x14ac:dyDescent="0.25">
      <c r="F96" s="36"/>
      <c r="G96" s="36"/>
      <c r="H96" s="36"/>
      <c r="I96" s="36"/>
    </row>
    <row r="97" spans="6:9" ht="15.75" customHeight="1" x14ac:dyDescent="0.25">
      <c r="F97" s="36"/>
      <c r="G97" s="36"/>
      <c r="H97" s="36"/>
      <c r="I97" s="36"/>
    </row>
    <row r="98" spans="6:9" ht="15.75" customHeight="1" x14ac:dyDescent="0.25">
      <c r="F98" s="36"/>
      <c r="G98" s="36"/>
      <c r="H98" s="36"/>
      <c r="I98" s="36"/>
    </row>
    <row r="99" spans="6:9" ht="15.75" customHeight="1" x14ac:dyDescent="0.25">
      <c r="F99" s="36"/>
      <c r="G99" s="36"/>
      <c r="H99" s="36"/>
      <c r="I99" s="36"/>
    </row>
    <row r="100" spans="6:9" ht="15.75" customHeight="1" x14ac:dyDescent="0.25">
      <c r="F100" s="36"/>
      <c r="G100" s="36"/>
      <c r="H100" s="36"/>
      <c r="I100" s="36"/>
    </row>
    <row r="101" spans="6:9" ht="15.75" customHeight="1" x14ac:dyDescent="0.25">
      <c r="F101" s="36"/>
      <c r="G101" s="36"/>
      <c r="H101" s="36"/>
      <c r="I101" s="36"/>
    </row>
    <row r="102" spans="6:9" ht="15.75" customHeight="1" x14ac:dyDescent="0.25">
      <c r="F102" s="36"/>
      <c r="G102" s="36"/>
      <c r="H102" s="36"/>
      <c r="I102" s="36"/>
    </row>
    <row r="103" spans="6:9" ht="15.75" customHeight="1" x14ac:dyDescent="0.25">
      <c r="F103" s="36"/>
      <c r="G103" s="36"/>
      <c r="H103" s="36"/>
      <c r="I103" s="36"/>
    </row>
    <row r="104" spans="6:9" ht="15.75" customHeight="1" x14ac:dyDescent="0.25">
      <c r="F104" s="36"/>
      <c r="G104" s="36"/>
      <c r="H104" s="36"/>
      <c r="I104" s="36"/>
    </row>
    <row r="105" spans="6:9" ht="15.75" customHeight="1" x14ac:dyDescent="0.25">
      <c r="F105" s="36"/>
      <c r="G105" s="36"/>
      <c r="H105" s="36"/>
      <c r="I105" s="36"/>
    </row>
    <row r="106" spans="6:9" ht="15.75" customHeight="1" x14ac:dyDescent="0.25">
      <c r="F106" s="36"/>
      <c r="G106" s="36"/>
      <c r="H106" s="36"/>
      <c r="I106" s="36"/>
    </row>
    <row r="107" spans="6:9" ht="15.75" customHeight="1" x14ac:dyDescent="0.25">
      <c r="F107" s="36"/>
      <c r="G107" s="36"/>
      <c r="H107" s="36"/>
      <c r="I107" s="36"/>
    </row>
    <row r="108" spans="6:9" ht="15.75" customHeight="1" x14ac:dyDescent="0.25">
      <c r="F108" s="36"/>
      <c r="G108" s="36"/>
      <c r="H108" s="36"/>
      <c r="I108" s="36"/>
    </row>
    <row r="109" spans="6:9" ht="15.75" customHeight="1" x14ac:dyDescent="0.25">
      <c r="F109" s="36"/>
      <c r="G109" s="36"/>
      <c r="H109" s="36"/>
      <c r="I109" s="36"/>
    </row>
    <row r="110" spans="6:9" ht="15.75" customHeight="1" x14ac:dyDescent="0.25">
      <c r="F110" s="36"/>
      <c r="G110" s="36"/>
      <c r="H110" s="36"/>
      <c r="I110" s="36"/>
    </row>
    <row r="111" spans="6:9" ht="15.75" customHeight="1" x14ac:dyDescent="0.25">
      <c r="F111" s="36"/>
      <c r="G111" s="36"/>
      <c r="H111" s="36"/>
      <c r="I111" s="36"/>
    </row>
    <row r="112" spans="6:9" ht="15.75" customHeight="1" x14ac:dyDescent="0.25">
      <c r="F112" s="36"/>
      <c r="G112" s="36"/>
      <c r="H112" s="36"/>
      <c r="I112" s="36"/>
    </row>
    <row r="113" spans="6:9" ht="15.75" customHeight="1" x14ac:dyDescent="0.25">
      <c r="F113" s="36"/>
      <c r="G113" s="36"/>
      <c r="H113" s="36"/>
      <c r="I113" s="36"/>
    </row>
    <row r="114" spans="6:9" ht="15.75" customHeight="1" x14ac:dyDescent="0.25">
      <c r="F114" s="36"/>
      <c r="G114" s="36"/>
      <c r="H114" s="36"/>
      <c r="I114" s="36"/>
    </row>
    <row r="115" spans="6:9" ht="15.75" customHeight="1" x14ac:dyDescent="0.25">
      <c r="F115" s="36"/>
      <c r="G115" s="36"/>
      <c r="H115" s="36"/>
      <c r="I115" s="36"/>
    </row>
    <row r="116" spans="6:9" ht="15.75" customHeight="1" x14ac:dyDescent="0.25">
      <c r="F116" s="36"/>
      <c r="G116" s="36"/>
      <c r="H116" s="36"/>
      <c r="I116" s="36"/>
    </row>
    <row r="117" spans="6:9" ht="15.75" customHeight="1" x14ac:dyDescent="0.25">
      <c r="F117" s="36"/>
      <c r="G117" s="36"/>
      <c r="H117" s="36"/>
      <c r="I117" s="36"/>
    </row>
    <row r="118" spans="6:9" ht="15.75" customHeight="1" x14ac:dyDescent="0.25">
      <c r="F118" s="36"/>
      <c r="G118" s="36"/>
      <c r="H118" s="36"/>
      <c r="I118" s="36"/>
    </row>
    <row r="119" spans="6:9" ht="15.75" customHeight="1" x14ac:dyDescent="0.25">
      <c r="F119" s="36"/>
      <c r="G119" s="36"/>
      <c r="H119" s="36"/>
      <c r="I119" s="36"/>
    </row>
    <row r="120" spans="6:9" ht="15.75" customHeight="1" x14ac:dyDescent="0.25">
      <c r="F120" s="36"/>
      <c r="G120" s="36"/>
      <c r="H120" s="36"/>
      <c r="I120" s="36"/>
    </row>
    <row r="121" spans="6:9" ht="15.75" customHeight="1" x14ac:dyDescent="0.25">
      <c r="F121" s="36"/>
      <c r="G121" s="36"/>
      <c r="H121" s="36"/>
      <c r="I121" s="36"/>
    </row>
    <row r="122" spans="6:9" ht="15.75" customHeight="1" x14ac:dyDescent="0.25">
      <c r="F122" s="36"/>
      <c r="G122" s="36"/>
      <c r="H122" s="36"/>
      <c r="I122" s="36"/>
    </row>
    <row r="123" spans="6:9" ht="15.75" customHeight="1" x14ac:dyDescent="0.25">
      <c r="F123" s="36"/>
      <c r="G123" s="36"/>
      <c r="H123" s="36"/>
      <c r="I123" s="36"/>
    </row>
    <row r="124" spans="6:9" ht="15.75" customHeight="1" x14ac:dyDescent="0.25">
      <c r="F124" s="36"/>
      <c r="G124" s="36"/>
      <c r="H124" s="36"/>
      <c r="I124" s="36"/>
    </row>
    <row r="125" spans="6:9" ht="15.75" customHeight="1" x14ac:dyDescent="0.25">
      <c r="F125" s="36"/>
      <c r="G125" s="36"/>
      <c r="H125" s="36"/>
      <c r="I125" s="36"/>
    </row>
    <row r="126" spans="6:9" ht="15.75" customHeight="1" x14ac:dyDescent="0.25">
      <c r="F126" s="36"/>
      <c r="G126" s="36"/>
      <c r="H126" s="36"/>
      <c r="I126" s="36"/>
    </row>
    <row r="127" spans="6:9" ht="15.75" customHeight="1" x14ac:dyDescent="0.25">
      <c r="F127" s="36"/>
      <c r="G127" s="36"/>
      <c r="H127" s="36"/>
      <c r="I127" s="36"/>
    </row>
    <row r="128" spans="6:9" ht="15.75" customHeight="1" x14ac:dyDescent="0.25">
      <c r="F128" s="36"/>
      <c r="G128" s="36"/>
      <c r="H128" s="36"/>
      <c r="I128" s="36"/>
    </row>
    <row r="129" spans="6:9" ht="15.75" customHeight="1" x14ac:dyDescent="0.25">
      <c r="F129" s="36"/>
      <c r="G129" s="36"/>
      <c r="H129" s="36"/>
      <c r="I129" s="36"/>
    </row>
    <row r="130" spans="6:9" ht="15.75" customHeight="1" x14ac:dyDescent="0.25">
      <c r="F130" s="36"/>
      <c r="G130" s="36"/>
      <c r="H130" s="36"/>
      <c r="I130" s="36"/>
    </row>
    <row r="131" spans="6:9" ht="15.75" customHeight="1" x14ac:dyDescent="0.25">
      <c r="F131" s="36"/>
      <c r="G131" s="36"/>
      <c r="H131" s="36"/>
      <c r="I131" s="36"/>
    </row>
    <row r="132" spans="6:9" ht="15.75" customHeight="1" x14ac:dyDescent="0.25">
      <c r="F132" s="36"/>
      <c r="G132" s="36"/>
      <c r="H132" s="36"/>
      <c r="I132" s="36"/>
    </row>
    <row r="133" spans="6:9" ht="15.75" customHeight="1" x14ac:dyDescent="0.25">
      <c r="F133" s="36"/>
      <c r="G133" s="36"/>
      <c r="H133" s="36"/>
      <c r="I133" s="36"/>
    </row>
    <row r="134" spans="6:9" ht="15.75" customHeight="1" x14ac:dyDescent="0.25">
      <c r="F134" s="36"/>
      <c r="G134" s="36"/>
      <c r="H134" s="36"/>
      <c r="I134" s="36"/>
    </row>
    <row r="135" spans="6:9" ht="15.75" customHeight="1" x14ac:dyDescent="0.25">
      <c r="F135" s="36"/>
      <c r="G135" s="36"/>
      <c r="H135" s="36"/>
      <c r="I135" s="36"/>
    </row>
    <row r="136" spans="6:9" ht="15.75" customHeight="1" x14ac:dyDescent="0.25">
      <c r="F136" s="36"/>
      <c r="G136" s="36"/>
      <c r="H136" s="36"/>
      <c r="I136" s="36"/>
    </row>
    <row r="137" spans="6:9" ht="15.75" customHeight="1" x14ac:dyDescent="0.25">
      <c r="F137" s="36"/>
      <c r="G137" s="36"/>
      <c r="H137" s="36"/>
      <c r="I137" s="36"/>
    </row>
    <row r="138" spans="6:9" ht="15.75" customHeight="1" x14ac:dyDescent="0.25">
      <c r="F138" s="36"/>
      <c r="G138" s="36"/>
      <c r="H138" s="36"/>
      <c r="I138" s="36"/>
    </row>
    <row r="139" spans="6:9" ht="15.75" customHeight="1" x14ac:dyDescent="0.25">
      <c r="F139" s="36"/>
      <c r="G139" s="36"/>
      <c r="H139" s="36"/>
      <c r="I139" s="36"/>
    </row>
    <row r="140" spans="6:9" ht="15.75" customHeight="1" x14ac:dyDescent="0.25">
      <c r="F140" s="36"/>
      <c r="G140" s="36"/>
      <c r="H140" s="36"/>
      <c r="I140" s="36"/>
    </row>
    <row r="141" spans="6:9" ht="15.75" customHeight="1" x14ac:dyDescent="0.25">
      <c r="F141" s="36"/>
      <c r="G141" s="36"/>
      <c r="H141" s="36"/>
      <c r="I141" s="36"/>
    </row>
    <row r="142" spans="6:9" ht="15.75" customHeight="1" x14ac:dyDescent="0.25">
      <c r="F142" s="36"/>
      <c r="G142" s="36"/>
      <c r="H142" s="36"/>
      <c r="I142" s="36"/>
    </row>
    <row r="143" spans="6:9" ht="15.75" customHeight="1" x14ac:dyDescent="0.25">
      <c r="F143" s="36"/>
      <c r="G143" s="36"/>
      <c r="H143" s="36"/>
      <c r="I143" s="36"/>
    </row>
    <row r="144" spans="6:9" ht="15.75" customHeight="1" x14ac:dyDescent="0.25">
      <c r="F144" s="36"/>
      <c r="G144" s="36"/>
      <c r="H144" s="36"/>
      <c r="I144" s="36"/>
    </row>
    <row r="145" spans="6:9" ht="15.75" customHeight="1" x14ac:dyDescent="0.25">
      <c r="F145" s="36"/>
      <c r="G145" s="36"/>
      <c r="H145" s="36"/>
      <c r="I145" s="36"/>
    </row>
    <row r="146" spans="6:9" ht="15.75" customHeight="1" x14ac:dyDescent="0.25">
      <c r="F146" s="36"/>
      <c r="G146" s="36"/>
      <c r="H146" s="36"/>
      <c r="I146" s="36"/>
    </row>
    <row r="147" spans="6:9" ht="15.75" customHeight="1" x14ac:dyDescent="0.25">
      <c r="F147" s="36"/>
      <c r="G147" s="36"/>
      <c r="H147" s="36"/>
      <c r="I147" s="36"/>
    </row>
    <row r="148" spans="6:9" ht="15.75" customHeight="1" x14ac:dyDescent="0.25">
      <c r="F148" s="36"/>
      <c r="G148" s="36"/>
      <c r="H148" s="36"/>
      <c r="I148" s="36"/>
    </row>
    <row r="149" spans="6:9" ht="15.75" customHeight="1" x14ac:dyDescent="0.25">
      <c r="F149" s="36"/>
      <c r="G149" s="36"/>
      <c r="H149" s="36"/>
      <c r="I149" s="36"/>
    </row>
    <row r="150" spans="6:9" ht="15.75" customHeight="1" x14ac:dyDescent="0.25">
      <c r="F150" s="36"/>
      <c r="G150" s="36"/>
      <c r="H150" s="36"/>
      <c r="I150" s="36"/>
    </row>
    <row r="151" spans="6:9" ht="15.75" customHeight="1" x14ac:dyDescent="0.25">
      <c r="F151" s="36"/>
      <c r="G151" s="36"/>
      <c r="H151" s="36"/>
      <c r="I151" s="36"/>
    </row>
    <row r="152" spans="6:9" ht="15.75" customHeight="1" x14ac:dyDescent="0.25">
      <c r="F152" s="36"/>
      <c r="G152" s="36"/>
      <c r="H152" s="36"/>
      <c r="I152" s="36"/>
    </row>
    <row r="153" spans="6:9" ht="15.75" customHeight="1" x14ac:dyDescent="0.25">
      <c r="F153" s="36"/>
      <c r="G153" s="36"/>
      <c r="H153" s="36"/>
      <c r="I153" s="36"/>
    </row>
    <row r="154" spans="6:9" ht="15.75" customHeight="1" x14ac:dyDescent="0.25">
      <c r="F154" s="36"/>
      <c r="G154" s="36"/>
      <c r="H154" s="36"/>
      <c r="I154" s="36"/>
    </row>
    <row r="155" spans="6:9" ht="15.75" customHeight="1" x14ac:dyDescent="0.25">
      <c r="F155" s="36"/>
      <c r="G155" s="36"/>
      <c r="H155" s="36"/>
      <c r="I155" s="36"/>
    </row>
    <row r="156" spans="6:9" ht="15.75" customHeight="1" x14ac:dyDescent="0.25">
      <c r="F156" s="36"/>
      <c r="G156" s="36"/>
      <c r="H156" s="36"/>
      <c r="I156" s="36"/>
    </row>
    <row r="157" spans="6:9" ht="15.75" customHeight="1" x14ac:dyDescent="0.25">
      <c r="F157" s="36"/>
      <c r="G157" s="36"/>
      <c r="H157" s="36"/>
      <c r="I157" s="36"/>
    </row>
    <row r="158" spans="6:9" ht="15.75" customHeight="1" x14ac:dyDescent="0.25">
      <c r="F158" s="36"/>
      <c r="G158" s="36"/>
      <c r="H158" s="36"/>
      <c r="I158" s="36"/>
    </row>
    <row r="159" spans="6:9" ht="15.75" customHeight="1" x14ac:dyDescent="0.25">
      <c r="F159" s="36"/>
      <c r="G159" s="36"/>
      <c r="H159" s="36"/>
      <c r="I159" s="36"/>
    </row>
    <row r="160" spans="6:9" ht="15.75" customHeight="1" x14ac:dyDescent="0.25">
      <c r="F160" s="36"/>
      <c r="G160" s="36"/>
      <c r="H160" s="36"/>
      <c r="I160" s="36"/>
    </row>
    <row r="161" spans="6:9" ht="15.75" customHeight="1" x14ac:dyDescent="0.25">
      <c r="F161" s="36"/>
      <c r="G161" s="36"/>
      <c r="H161" s="36"/>
      <c r="I161" s="36"/>
    </row>
    <row r="162" spans="6:9" ht="15.75" customHeight="1" x14ac:dyDescent="0.25">
      <c r="F162" s="36"/>
      <c r="G162" s="36"/>
      <c r="H162" s="36"/>
      <c r="I162" s="36"/>
    </row>
    <row r="163" spans="6:9" ht="15.75" customHeight="1" x14ac:dyDescent="0.25">
      <c r="F163" s="36"/>
      <c r="G163" s="36"/>
      <c r="H163" s="36"/>
      <c r="I163" s="36"/>
    </row>
    <row r="164" spans="6:9" ht="15.75" customHeight="1" x14ac:dyDescent="0.25">
      <c r="F164" s="36"/>
      <c r="G164" s="36"/>
      <c r="H164" s="36"/>
      <c r="I164" s="36"/>
    </row>
    <row r="165" spans="6:9" ht="15.75" customHeight="1" x14ac:dyDescent="0.25">
      <c r="H165" s="36"/>
      <c r="I165" s="36"/>
    </row>
    <row r="166" spans="6:9" ht="15.75" customHeight="1" x14ac:dyDescent="0.25">
      <c r="H166" s="36"/>
      <c r="I166" s="36"/>
    </row>
    <row r="167" spans="6:9" ht="15.75" customHeight="1" x14ac:dyDescent="0.25">
      <c r="H167" s="36"/>
      <c r="I167" s="36"/>
    </row>
    <row r="168" spans="6:9" ht="15.75" customHeight="1" x14ac:dyDescent="0.25"/>
    <row r="169" spans="6:9" ht="15.75" customHeight="1" x14ac:dyDescent="0.25"/>
    <row r="170" spans="6:9" ht="15.75" customHeight="1" x14ac:dyDescent="0.25"/>
    <row r="171" spans="6:9" ht="15.75" customHeight="1" x14ac:dyDescent="0.25"/>
    <row r="172" spans="6:9" ht="15.75" customHeight="1" x14ac:dyDescent="0.25"/>
    <row r="173" spans="6:9" ht="15.75" customHeight="1" x14ac:dyDescent="0.25"/>
    <row r="174" spans="6:9" ht="15.75" customHeight="1" x14ac:dyDescent="0.25"/>
    <row r="175" spans="6:9" ht="15.75" customHeight="1" x14ac:dyDescent="0.25"/>
    <row r="176" spans="6:9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</sheetData>
  <mergeCells count="8">
    <mergeCell ref="A6:A8"/>
    <mergeCell ref="E6:G6"/>
    <mergeCell ref="E7:G7"/>
    <mergeCell ref="H6:H8"/>
    <mergeCell ref="I6:I8"/>
    <mergeCell ref="D6:D8"/>
    <mergeCell ref="C6:C8"/>
    <mergeCell ref="B6:B8"/>
  </mergeCells>
  <dataValidations count="3">
    <dataValidation type="list" allowBlank="1" showInputMessage="1" showErrorMessage="1" sqref="A3" xr:uid="{00000000-0002-0000-0000-000000000000}">
      <formula1>$Q$11:$Q$28</formula1>
    </dataValidation>
    <dataValidation type="list" allowBlank="1" showInputMessage="1" showErrorMessage="1" sqref="B3" xr:uid="{7D72A6A5-2CB2-4926-91A6-5CD46E5E9F65}">
      <formula1>$R$3:$R$20</formula1>
    </dataValidation>
    <dataValidation type="list" allowBlank="1" showInputMessage="1" showErrorMessage="1" sqref="D3" xr:uid="{3088383C-7D4B-4C2F-9C6B-C7C63592E5BE}">
      <formula1>$T$3:$T$60</formula1>
    </dataValidation>
  </dataValidations>
  <hyperlinks>
    <hyperlink ref="I2" r:id="rId1" xr:uid="{0D13EB1D-7BB2-48D4-A301-33145E4E5671}"/>
  </hyperlinks>
  <pageMargins left="0.7" right="0.7" top="0.75" bottom="0.75" header="0" footer="0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O1000"/>
  <sheetViews>
    <sheetView workbookViewId="0">
      <pane xSplit="2" ySplit="7" topLeftCell="AB8" activePane="bottomRight" state="frozen"/>
      <selection pane="topRight" activeCell="C1" sqref="C1"/>
      <selection pane="bottomLeft" activeCell="A8" sqref="A8"/>
      <selection pane="bottomRight" activeCell="BF22" sqref="BF22"/>
    </sheetView>
  </sheetViews>
  <sheetFormatPr defaultColWidth="14.42578125" defaultRowHeight="15" customHeight="1" x14ac:dyDescent="0.25"/>
  <cols>
    <col min="1" max="1" width="8.7109375" customWidth="1"/>
    <col min="2" max="2" width="32.28515625" customWidth="1"/>
    <col min="3" max="3" width="12" customWidth="1"/>
    <col min="4" max="4" width="5.5703125" customWidth="1"/>
    <col min="5" max="5" width="7.7109375" customWidth="1"/>
    <col min="6" max="6" width="7.7109375" style="22" customWidth="1"/>
    <col min="7" max="58" width="7.7109375" customWidth="1"/>
    <col min="59" max="63" width="15" customWidth="1"/>
    <col min="64" max="64" width="10.28515625" customWidth="1"/>
    <col min="65" max="82" width="8.7109375" customWidth="1"/>
    <col min="83" max="83" width="9.140625" customWidth="1"/>
    <col min="84" max="88" width="8.7109375" customWidth="1"/>
    <col min="89" max="89" width="10.85546875" hidden="1" customWidth="1"/>
    <col min="90" max="93" width="5.7109375" hidden="1" customWidth="1"/>
    <col min="94" max="102" width="8.7109375" hidden="1" customWidth="1"/>
    <col min="103" max="103" width="9.140625" hidden="1" customWidth="1"/>
    <col min="104" max="104" width="10.140625" hidden="1" customWidth="1"/>
    <col min="105" max="105" width="16.42578125" hidden="1" customWidth="1"/>
    <col min="106" max="107" width="9.140625" hidden="1" customWidth="1"/>
    <col min="108" max="108" width="16.42578125" hidden="1" customWidth="1"/>
    <col min="109" max="110" width="9.140625" hidden="1" customWidth="1"/>
    <col min="111" max="118" width="8.7109375" hidden="1" customWidth="1"/>
    <col min="119" max="119" width="8.7109375" customWidth="1"/>
  </cols>
  <sheetData>
    <row r="1" spans="1:119" x14ac:dyDescent="0.25">
      <c r="A1" s="46" t="s">
        <v>3118</v>
      </c>
      <c r="I1" s="37" t="s">
        <v>10</v>
      </c>
      <c r="J1" s="37"/>
      <c r="P1" s="37"/>
      <c r="V1" s="37"/>
      <c r="AB1" s="37"/>
      <c r="AK1" s="37"/>
      <c r="AQ1" s="37"/>
      <c r="AW1" s="37"/>
      <c r="BC1" s="37"/>
      <c r="BP1" s="9">
        <f>VLOOKUP(menu!A3,kelas,2)</f>
        <v>64</v>
      </c>
    </row>
    <row r="2" spans="1:119" ht="15" customHeight="1" x14ac:dyDescent="0.25">
      <c r="H2" s="250" t="str">
        <f>menu!R4</f>
        <v>Pendidikan Pancasila dan Kewarganegaraan</v>
      </c>
      <c r="I2" s="237"/>
      <c r="J2" s="52"/>
      <c r="K2" s="240" t="str">
        <f>menu!R5</f>
        <v>Bahasa Indonesia</v>
      </c>
      <c r="L2" s="237"/>
      <c r="M2" s="52"/>
      <c r="N2" s="240" t="str">
        <f>menu!R6</f>
        <v>Matematika</v>
      </c>
      <c r="O2" s="237"/>
      <c r="P2" s="52"/>
      <c r="Q2" s="240" t="str">
        <f>menu!R7</f>
        <v xml:space="preserve"> </v>
      </c>
      <c r="R2" s="237"/>
      <c r="S2" s="52"/>
      <c r="T2" s="240" t="str">
        <f>menu!R8</f>
        <v xml:space="preserve"> Bahasa Inggris</v>
      </c>
      <c r="U2" s="237"/>
      <c r="V2" s="52"/>
      <c r="W2" s="240" t="str">
        <f>menu!R9</f>
        <v xml:space="preserve"> </v>
      </c>
      <c r="X2" s="237"/>
      <c r="Y2" s="52"/>
      <c r="Z2" s="240" t="str">
        <f>menu!R10</f>
        <v xml:space="preserve"> </v>
      </c>
      <c r="AA2" s="237"/>
      <c r="AB2" s="52"/>
      <c r="AC2" s="240" t="str">
        <f>menu!R11</f>
        <v xml:space="preserve"> </v>
      </c>
      <c r="AD2" s="237"/>
      <c r="AE2" s="52"/>
      <c r="AF2" s="240" t="str">
        <f>menu!R12</f>
        <v>Bahasa Jawa</v>
      </c>
      <c r="AG2" s="237"/>
      <c r="AH2" s="52"/>
      <c r="AI2" s="240" t="str">
        <f>menu!R13</f>
        <v xml:space="preserve"> Basis Data</v>
      </c>
      <c r="AJ2" s="237"/>
      <c r="AK2" s="52"/>
      <c r="AL2" s="240" t="str">
        <f>menu!R14</f>
        <v>Pemrograman Berorientasi Objek</v>
      </c>
      <c r="AM2" s="237"/>
      <c r="AN2" s="52"/>
      <c r="AO2" s="240" t="str">
        <f>menu!R15</f>
        <v>Pemrograman Web dan Perangkat Bergerak</v>
      </c>
      <c r="AP2" s="237"/>
      <c r="AQ2" s="52"/>
      <c r="AR2" s="240" t="str">
        <f>menu!R16</f>
        <v>Produk Kreatif dan Kewirausahaan</v>
      </c>
      <c r="AS2" s="237"/>
      <c r="AT2" s="52"/>
      <c r="AU2" s="240" t="str">
        <f>menu!R17</f>
        <v xml:space="preserve"> </v>
      </c>
      <c r="AV2" s="237"/>
      <c r="AW2" s="52"/>
      <c r="AX2" s="240" t="str">
        <f>menu!R18</f>
        <v xml:space="preserve"> </v>
      </c>
      <c r="AY2" s="237"/>
      <c r="AZ2" s="52"/>
      <c r="BA2" s="240" t="str">
        <f>menu!R19</f>
        <v xml:space="preserve"> </v>
      </c>
      <c r="BB2" s="237"/>
      <c r="BC2" s="52"/>
      <c r="BD2" s="240" t="str">
        <f>menu!R20</f>
        <v xml:space="preserve"> </v>
      </c>
      <c r="BE2" s="237"/>
      <c r="BF2" s="52"/>
      <c r="BG2" s="244" t="s">
        <v>3119</v>
      </c>
      <c r="BH2" s="245" t="s">
        <v>3120</v>
      </c>
      <c r="BI2" s="245" t="s">
        <v>3121</v>
      </c>
      <c r="BJ2" s="245" t="s">
        <v>3122</v>
      </c>
      <c r="BK2" s="245" t="s">
        <v>3123</v>
      </c>
      <c r="BL2" s="241" t="s">
        <v>3124</v>
      </c>
      <c r="BM2" s="244" t="s">
        <v>3125</v>
      </c>
      <c r="BN2" s="241" t="s">
        <v>3126</v>
      </c>
      <c r="BO2" s="244" t="s">
        <v>3127</v>
      </c>
      <c r="BP2" s="241" t="s">
        <v>3128</v>
      </c>
      <c r="BQ2" s="244" t="s">
        <v>3129</v>
      </c>
      <c r="BR2" s="241" t="s">
        <v>3130</v>
      </c>
      <c r="BS2" s="241" t="s">
        <v>3131</v>
      </c>
      <c r="BT2" s="241" t="s">
        <v>3010</v>
      </c>
      <c r="BU2" s="244" t="s">
        <v>3030</v>
      </c>
      <c r="BV2" s="244" t="s">
        <v>3046</v>
      </c>
      <c r="BW2" s="244" t="s">
        <v>3055</v>
      </c>
      <c r="BX2" s="244" t="s">
        <v>3063</v>
      </c>
      <c r="BY2" s="244" t="s">
        <v>3071</v>
      </c>
      <c r="BZ2" s="241" t="s">
        <v>3132</v>
      </c>
      <c r="CA2" s="244" t="s">
        <v>3133</v>
      </c>
      <c r="CB2" s="241" t="s">
        <v>3134</v>
      </c>
      <c r="CC2" s="244" t="s">
        <v>3135</v>
      </c>
      <c r="CD2" s="241" t="s">
        <v>3136</v>
      </c>
      <c r="CE2" s="244" t="s">
        <v>3137</v>
      </c>
      <c r="CF2" s="244" t="s">
        <v>3138</v>
      </c>
      <c r="CG2" s="7"/>
      <c r="CH2" s="7"/>
      <c r="CI2" s="7"/>
      <c r="CJ2" s="7"/>
      <c r="CK2" s="10"/>
      <c r="CL2" s="7"/>
      <c r="CM2" s="7"/>
      <c r="CN2" s="7"/>
      <c r="CO2" s="7"/>
      <c r="CP2" s="7"/>
      <c r="CQ2" s="2" t="s">
        <v>3139</v>
      </c>
      <c r="CR2" s="2" t="s">
        <v>3140</v>
      </c>
      <c r="CS2" s="2" t="s">
        <v>3141</v>
      </c>
      <c r="CT2" s="2" t="s">
        <v>3142</v>
      </c>
      <c r="CU2" s="2" t="s">
        <v>3143</v>
      </c>
      <c r="CV2" s="2" t="s">
        <v>3144</v>
      </c>
      <c r="CW2" s="2" t="s">
        <v>3145</v>
      </c>
      <c r="CX2" s="2" t="s">
        <v>3146</v>
      </c>
      <c r="DO2" s="7"/>
    </row>
    <row r="3" spans="1:119" ht="15.75" customHeight="1" x14ac:dyDescent="0.25">
      <c r="H3" s="251" t="str">
        <f>menu!Q12</f>
        <v>XI PKM 2</v>
      </c>
      <c r="I3" s="237"/>
      <c r="J3" s="53"/>
      <c r="K3" s="236" t="str">
        <f>menu!Q13</f>
        <v>XI PKM 3</v>
      </c>
      <c r="L3" s="237"/>
      <c r="M3" s="53"/>
      <c r="N3" s="236" t="str">
        <f>menu!Q14</f>
        <v>XI PKM 4</v>
      </c>
      <c r="O3" s="237"/>
      <c r="P3" s="53"/>
      <c r="Q3" s="236" t="str">
        <f>menu!Q15</f>
        <v>XI RPL 1</v>
      </c>
      <c r="R3" s="237"/>
      <c r="S3" s="53"/>
      <c r="T3" s="236" t="str">
        <f>menu!Q16</f>
        <v>XI RPL 2</v>
      </c>
      <c r="U3" s="237"/>
      <c r="V3" s="53"/>
      <c r="W3" s="236" t="str">
        <f>menu!Q17</f>
        <v>XI RPL 3</v>
      </c>
      <c r="X3" s="237"/>
      <c r="Y3" s="53"/>
      <c r="Z3" s="236" t="str">
        <f>menu!Q18</f>
        <v>XI TBSM 1</v>
      </c>
      <c r="AA3" s="237"/>
      <c r="AB3" s="53"/>
      <c r="AC3" s="236" t="str">
        <f>menu!Q19</f>
        <v>XI TBSM 2</v>
      </c>
      <c r="AD3" s="237"/>
      <c r="AE3" s="53"/>
      <c r="AF3" s="236" t="str">
        <f>menu!Q20</f>
        <v>XII PKM 1</v>
      </c>
      <c r="AG3" s="237"/>
      <c r="AH3" s="53"/>
      <c r="AI3" s="236" t="str">
        <f>menu!Q21</f>
        <v>XII PKM 2</v>
      </c>
      <c r="AJ3" s="237"/>
      <c r="AK3" s="53"/>
      <c r="AL3" s="236" t="str">
        <f>menu!Q22</f>
        <v>XII PKM 3</v>
      </c>
      <c r="AM3" s="237"/>
      <c r="AN3" s="53"/>
      <c r="AO3" s="236" t="str">
        <f>menu!Q23</f>
        <v>XII PKM 4</v>
      </c>
      <c r="AP3" s="237"/>
      <c r="AQ3" s="53"/>
      <c r="AR3" s="236" t="str">
        <f>menu!Q24</f>
        <v>XII RPL 1</v>
      </c>
      <c r="AS3" s="237"/>
      <c r="AT3" s="53"/>
      <c r="AU3" s="236" t="str">
        <f>menu!Q25</f>
        <v>XII RPL 2</v>
      </c>
      <c r="AV3" s="237"/>
      <c r="AW3" s="53"/>
      <c r="AX3" s="236" t="str">
        <f>menu!Q26</f>
        <v>XII RPL 3</v>
      </c>
      <c r="AY3" s="237"/>
      <c r="AZ3" s="53"/>
      <c r="BA3" s="236" t="str">
        <f>menu!Q27</f>
        <v>XII TBSM 1</v>
      </c>
      <c r="BB3" s="237"/>
      <c r="BC3" s="53"/>
      <c r="BD3" s="236" t="str">
        <f>menu!Q28</f>
        <v>XII TBSM 2</v>
      </c>
      <c r="BE3" s="237"/>
      <c r="BF3" s="53"/>
      <c r="BG3" s="242"/>
      <c r="BH3" s="242"/>
      <c r="BI3" s="242"/>
      <c r="BJ3" s="242"/>
      <c r="BK3" s="242"/>
      <c r="BL3" s="242"/>
      <c r="BM3" s="242"/>
      <c r="BN3" s="242"/>
      <c r="BO3" s="242"/>
      <c r="BP3" s="242"/>
      <c r="BQ3" s="242"/>
      <c r="BR3" s="242"/>
      <c r="BS3" s="242"/>
      <c r="BT3" s="242"/>
      <c r="BU3" s="242"/>
      <c r="BV3" s="242"/>
      <c r="BW3" s="242"/>
      <c r="BX3" s="242"/>
      <c r="BY3" s="242"/>
      <c r="BZ3" s="242"/>
      <c r="CA3" s="242"/>
      <c r="CB3" s="242"/>
      <c r="CC3" s="242"/>
      <c r="CD3" s="242"/>
      <c r="CE3" s="242"/>
      <c r="CF3" s="242"/>
      <c r="CK3" s="11"/>
    </row>
    <row r="4" spans="1:119" ht="15.75" customHeight="1" x14ac:dyDescent="0.25">
      <c r="H4" s="252" t="s">
        <v>3025</v>
      </c>
      <c r="I4" s="234" t="s">
        <v>3026</v>
      </c>
      <c r="J4" s="238" t="s">
        <v>3049</v>
      </c>
      <c r="K4" s="234" t="s">
        <v>3025</v>
      </c>
      <c r="L4" s="234" t="s">
        <v>3026</v>
      </c>
      <c r="M4" s="238" t="s">
        <v>3049</v>
      </c>
      <c r="N4" s="234" t="s">
        <v>3025</v>
      </c>
      <c r="O4" s="234" t="s">
        <v>3026</v>
      </c>
      <c r="P4" s="238" t="s">
        <v>3049</v>
      </c>
      <c r="Q4" s="234" t="s">
        <v>3025</v>
      </c>
      <c r="R4" s="234" t="s">
        <v>3026</v>
      </c>
      <c r="S4" s="238" t="s">
        <v>3049</v>
      </c>
      <c r="T4" s="234" t="s">
        <v>3025</v>
      </c>
      <c r="U4" s="234" t="s">
        <v>3026</v>
      </c>
      <c r="V4" s="238" t="s">
        <v>3049</v>
      </c>
      <c r="W4" s="234" t="s">
        <v>3025</v>
      </c>
      <c r="X4" s="234" t="s">
        <v>3026</v>
      </c>
      <c r="Y4" s="238" t="s">
        <v>3049</v>
      </c>
      <c r="Z4" s="234" t="s">
        <v>3025</v>
      </c>
      <c r="AA4" s="234" t="s">
        <v>3026</v>
      </c>
      <c r="AB4" s="238" t="s">
        <v>3049</v>
      </c>
      <c r="AC4" s="234" t="s">
        <v>3025</v>
      </c>
      <c r="AD4" s="234" t="s">
        <v>3026</v>
      </c>
      <c r="AE4" s="238" t="s">
        <v>3049</v>
      </c>
      <c r="AF4" s="234" t="s">
        <v>3025</v>
      </c>
      <c r="AG4" s="234" t="s">
        <v>3026</v>
      </c>
      <c r="AH4" s="238" t="s">
        <v>3049</v>
      </c>
      <c r="AI4" s="234" t="s">
        <v>3025</v>
      </c>
      <c r="AJ4" s="234" t="s">
        <v>3026</v>
      </c>
      <c r="AK4" s="238" t="s">
        <v>3049</v>
      </c>
      <c r="AL4" s="234" t="s">
        <v>3025</v>
      </c>
      <c r="AM4" s="234" t="s">
        <v>3026</v>
      </c>
      <c r="AN4" s="238" t="s">
        <v>3049</v>
      </c>
      <c r="AO4" s="234" t="s">
        <v>3025</v>
      </c>
      <c r="AP4" s="234" t="s">
        <v>3026</v>
      </c>
      <c r="AQ4" s="238" t="s">
        <v>3049</v>
      </c>
      <c r="AR4" s="234" t="s">
        <v>3025</v>
      </c>
      <c r="AS4" s="234" t="s">
        <v>3026</v>
      </c>
      <c r="AT4" s="238" t="s">
        <v>3049</v>
      </c>
      <c r="AU4" s="234" t="s">
        <v>3025</v>
      </c>
      <c r="AV4" s="234" t="s">
        <v>3026</v>
      </c>
      <c r="AW4" s="238" t="s">
        <v>3049</v>
      </c>
      <c r="AX4" s="234" t="s">
        <v>3025</v>
      </c>
      <c r="AY4" s="234" t="s">
        <v>3026</v>
      </c>
      <c r="AZ4" s="238" t="s">
        <v>3049</v>
      </c>
      <c r="BA4" s="234" t="s">
        <v>3025</v>
      </c>
      <c r="BB4" s="234" t="s">
        <v>3026</v>
      </c>
      <c r="BC4" s="238" t="s">
        <v>3049</v>
      </c>
      <c r="BD4" s="234" t="s">
        <v>3025</v>
      </c>
      <c r="BE4" s="234" t="s">
        <v>3026</v>
      </c>
      <c r="BF4" s="238" t="s">
        <v>3049</v>
      </c>
      <c r="BG4" s="242"/>
      <c r="BH4" s="242"/>
      <c r="BI4" s="242"/>
      <c r="BJ4" s="242"/>
      <c r="BK4" s="242"/>
      <c r="BL4" s="242"/>
      <c r="BM4" s="242"/>
      <c r="BN4" s="242"/>
      <c r="BO4" s="242"/>
      <c r="BP4" s="242"/>
      <c r="BQ4" s="242"/>
      <c r="BR4" s="242"/>
      <c r="BS4" s="242"/>
      <c r="BT4" s="242"/>
      <c r="BU4" s="243"/>
      <c r="BV4" s="243"/>
      <c r="BW4" s="243"/>
      <c r="BX4" s="243"/>
      <c r="BY4" s="243"/>
      <c r="BZ4" s="242"/>
      <c r="CA4" s="242"/>
      <c r="CB4" s="242"/>
      <c r="CC4" s="242"/>
      <c r="CD4" s="242"/>
      <c r="CE4" s="242"/>
      <c r="CF4" s="242"/>
      <c r="CK4" s="11"/>
      <c r="CQ4" s="12">
        <v>11</v>
      </c>
      <c r="CR4" s="12">
        <v>12</v>
      </c>
      <c r="CS4" s="12">
        <v>13</v>
      </c>
      <c r="CT4" s="12">
        <v>14</v>
      </c>
      <c r="CU4" s="12">
        <v>15</v>
      </c>
      <c r="CV4" s="12">
        <v>16</v>
      </c>
      <c r="CW4" s="12">
        <v>17</v>
      </c>
      <c r="CX4" s="12">
        <v>18</v>
      </c>
      <c r="DA4" t="s">
        <v>10</v>
      </c>
      <c r="DF4" s="6"/>
      <c r="DG4" s="6"/>
      <c r="DH4" s="6"/>
      <c r="DI4" s="6"/>
      <c r="DJ4" s="6"/>
      <c r="DK4" s="6"/>
      <c r="DL4" s="6"/>
      <c r="DM4" s="6"/>
      <c r="DN4" s="6"/>
    </row>
    <row r="5" spans="1:119" ht="15" customHeight="1" x14ac:dyDescent="0.25">
      <c r="H5" s="253"/>
      <c r="I5" s="235"/>
      <c r="J5" s="239"/>
      <c r="K5" s="235"/>
      <c r="L5" s="235"/>
      <c r="M5" s="239"/>
      <c r="N5" s="235"/>
      <c r="O5" s="235"/>
      <c r="P5" s="239"/>
      <c r="Q5" s="235"/>
      <c r="R5" s="235"/>
      <c r="S5" s="239"/>
      <c r="T5" s="235"/>
      <c r="U5" s="235"/>
      <c r="V5" s="239"/>
      <c r="W5" s="235"/>
      <c r="X5" s="235"/>
      <c r="Y5" s="239"/>
      <c r="Z5" s="235"/>
      <c r="AA5" s="235"/>
      <c r="AB5" s="239"/>
      <c r="AC5" s="235"/>
      <c r="AD5" s="235"/>
      <c r="AE5" s="239"/>
      <c r="AF5" s="235"/>
      <c r="AG5" s="235"/>
      <c r="AH5" s="239"/>
      <c r="AI5" s="235"/>
      <c r="AJ5" s="235"/>
      <c r="AK5" s="239"/>
      <c r="AL5" s="235"/>
      <c r="AM5" s="235"/>
      <c r="AN5" s="239"/>
      <c r="AO5" s="235"/>
      <c r="AP5" s="235"/>
      <c r="AQ5" s="239"/>
      <c r="AR5" s="235"/>
      <c r="AS5" s="235"/>
      <c r="AT5" s="239"/>
      <c r="AU5" s="235"/>
      <c r="AV5" s="235"/>
      <c r="AW5" s="239"/>
      <c r="AX5" s="235"/>
      <c r="AY5" s="235"/>
      <c r="AZ5" s="239"/>
      <c r="BA5" s="235"/>
      <c r="BB5" s="235"/>
      <c r="BC5" s="239"/>
      <c r="BD5" s="235"/>
      <c r="BE5" s="235"/>
      <c r="BF5" s="239"/>
      <c r="BG5" s="243"/>
      <c r="BH5" s="243"/>
      <c r="BI5" s="243"/>
      <c r="BJ5" s="243"/>
      <c r="BK5" s="243"/>
      <c r="BL5" s="243"/>
      <c r="BM5" s="243"/>
      <c r="BN5" s="243"/>
      <c r="BO5" s="243"/>
      <c r="BP5" s="243"/>
      <c r="BQ5" s="243"/>
      <c r="BR5" s="243"/>
      <c r="BS5" s="243"/>
      <c r="BT5" s="243"/>
      <c r="BU5" s="248" t="s">
        <v>3147</v>
      </c>
      <c r="BV5" s="249"/>
      <c r="BW5" s="249"/>
      <c r="BX5" s="249"/>
      <c r="BY5" s="237"/>
      <c r="BZ5" s="243"/>
      <c r="CA5" s="243"/>
      <c r="CB5" s="243"/>
      <c r="CC5" s="243"/>
      <c r="CD5" s="243"/>
      <c r="CE5" s="243"/>
      <c r="CF5" s="243"/>
      <c r="CG5" s="7"/>
      <c r="CH5" s="7"/>
      <c r="CI5" s="7"/>
      <c r="CJ5" s="7"/>
      <c r="CK5" s="246" t="s">
        <v>3148</v>
      </c>
      <c r="CL5" s="247"/>
      <c r="CM5" s="247"/>
      <c r="CN5" s="247"/>
      <c r="CO5" s="247"/>
      <c r="CP5" s="7"/>
      <c r="CQ5" s="13" t="s">
        <v>3149</v>
      </c>
      <c r="CR5" s="5" t="s">
        <v>3149</v>
      </c>
      <c r="CS5" s="13" t="s">
        <v>3149</v>
      </c>
      <c r="CT5" s="5" t="s">
        <v>3149</v>
      </c>
      <c r="CU5" s="13" t="s">
        <v>3149</v>
      </c>
      <c r="CV5" s="5" t="s">
        <v>3149</v>
      </c>
      <c r="CW5" s="13" t="s">
        <v>3149</v>
      </c>
      <c r="CX5" s="44" t="s">
        <v>3149</v>
      </c>
      <c r="DF5" s="6"/>
      <c r="DG5" s="13" t="s">
        <v>3149</v>
      </c>
      <c r="DH5" s="5" t="s">
        <v>3149</v>
      </c>
      <c r="DI5" s="13" t="s">
        <v>3149</v>
      </c>
      <c r="DJ5" s="5" t="s">
        <v>3149</v>
      </c>
      <c r="DK5" s="13" t="s">
        <v>3149</v>
      </c>
      <c r="DL5" s="5" t="s">
        <v>3149</v>
      </c>
      <c r="DM5" s="13" t="s">
        <v>3149</v>
      </c>
      <c r="DN5" s="5" t="s">
        <v>3149</v>
      </c>
      <c r="DO5" s="7"/>
    </row>
    <row r="6" spans="1:119" x14ac:dyDescent="0.25">
      <c r="H6" s="16">
        <v>8</v>
      </c>
      <c r="I6" s="16">
        <v>9</v>
      </c>
      <c r="J6" s="16">
        <v>10</v>
      </c>
      <c r="K6" s="16">
        <v>11</v>
      </c>
      <c r="L6" s="16">
        <v>12</v>
      </c>
      <c r="M6" s="16">
        <v>13</v>
      </c>
      <c r="N6" s="16">
        <v>14</v>
      </c>
      <c r="O6" s="16">
        <v>15</v>
      </c>
      <c r="P6" s="16">
        <v>16</v>
      </c>
      <c r="Q6" s="16">
        <v>17</v>
      </c>
      <c r="R6" s="16">
        <v>18</v>
      </c>
      <c r="S6" s="16">
        <v>19</v>
      </c>
      <c r="T6" s="16">
        <v>20</v>
      </c>
      <c r="U6" s="16">
        <v>21</v>
      </c>
      <c r="V6" s="16">
        <v>22</v>
      </c>
      <c r="W6" s="16">
        <v>23</v>
      </c>
      <c r="X6" s="16">
        <v>24</v>
      </c>
      <c r="Y6" s="16">
        <v>25</v>
      </c>
      <c r="Z6" s="16">
        <v>26</v>
      </c>
      <c r="AA6" s="16">
        <v>27</v>
      </c>
      <c r="AB6" s="16">
        <v>28</v>
      </c>
      <c r="AC6" s="16">
        <v>29</v>
      </c>
      <c r="AD6" s="16">
        <v>30</v>
      </c>
      <c r="AE6" s="16">
        <v>31</v>
      </c>
      <c r="AF6" s="16">
        <v>32</v>
      </c>
      <c r="AG6" s="16">
        <v>33</v>
      </c>
      <c r="AH6" s="16">
        <v>34</v>
      </c>
      <c r="AI6" s="16">
        <v>35</v>
      </c>
      <c r="AJ6" s="16">
        <v>36</v>
      </c>
      <c r="AK6" s="16">
        <v>37</v>
      </c>
      <c r="AL6" s="16">
        <v>38</v>
      </c>
      <c r="AM6" s="16">
        <v>39</v>
      </c>
      <c r="AN6" s="16">
        <v>40</v>
      </c>
      <c r="AO6" s="16">
        <v>41</v>
      </c>
      <c r="AP6" s="16">
        <v>42</v>
      </c>
      <c r="AQ6" s="16">
        <v>43</v>
      </c>
      <c r="AR6" s="16">
        <v>44</v>
      </c>
      <c r="AS6" s="16">
        <v>45</v>
      </c>
      <c r="AT6" s="16">
        <v>46</v>
      </c>
      <c r="AU6" s="16">
        <v>47</v>
      </c>
      <c r="AV6" s="16">
        <v>48</v>
      </c>
      <c r="AW6" s="16">
        <v>49</v>
      </c>
      <c r="AX6" s="16">
        <v>50</v>
      </c>
      <c r="AY6" s="16">
        <v>51</v>
      </c>
      <c r="AZ6" s="16">
        <v>52</v>
      </c>
      <c r="BA6" s="16">
        <v>53</v>
      </c>
      <c r="BB6" s="16">
        <v>54</v>
      </c>
      <c r="BC6" s="16">
        <v>55</v>
      </c>
      <c r="BD6" s="16">
        <v>56</v>
      </c>
      <c r="BE6" s="16">
        <v>57</v>
      </c>
      <c r="BF6" s="16">
        <v>58</v>
      </c>
      <c r="BG6" s="16">
        <v>59</v>
      </c>
      <c r="BH6" s="16">
        <v>60</v>
      </c>
      <c r="BI6" s="16">
        <v>61</v>
      </c>
      <c r="BJ6" s="16">
        <v>62</v>
      </c>
      <c r="BK6" s="16">
        <v>63</v>
      </c>
      <c r="BL6" s="16">
        <v>64</v>
      </c>
      <c r="BM6" s="16">
        <v>65</v>
      </c>
      <c r="BN6" s="16">
        <v>66</v>
      </c>
      <c r="BO6" s="16">
        <v>67</v>
      </c>
      <c r="BP6" s="16">
        <v>68</v>
      </c>
      <c r="BQ6" s="16">
        <v>69</v>
      </c>
      <c r="BR6" s="16">
        <v>70</v>
      </c>
      <c r="BS6" s="16">
        <v>71</v>
      </c>
      <c r="BT6" s="16">
        <v>72</v>
      </c>
      <c r="BU6" s="16">
        <v>73</v>
      </c>
      <c r="BV6" s="16">
        <v>74</v>
      </c>
      <c r="BW6" s="16">
        <v>75</v>
      </c>
      <c r="BX6" s="16">
        <v>76</v>
      </c>
      <c r="BY6" s="16">
        <v>77</v>
      </c>
      <c r="BZ6" s="16">
        <v>78</v>
      </c>
      <c r="CA6" s="16">
        <v>79</v>
      </c>
      <c r="CB6" s="16">
        <v>80</v>
      </c>
      <c r="CC6" s="16">
        <v>81</v>
      </c>
      <c r="CD6" s="16">
        <v>82</v>
      </c>
      <c r="CE6" s="16">
        <v>83</v>
      </c>
      <c r="CF6" s="16">
        <v>84</v>
      </c>
      <c r="CG6" s="7"/>
      <c r="CH6" s="7"/>
      <c r="CI6" s="7"/>
      <c r="CJ6" s="7"/>
      <c r="CK6" s="15">
        <v>56</v>
      </c>
      <c r="CL6" s="15">
        <v>63</v>
      </c>
      <c r="CM6" s="15">
        <v>64</v>
      </c>
      <c r="CN6" s="15">
        <v>65</v>
      </c>
      <c r="CO6" s="15">
        <v>66</v>
      </c>
      <c r="CP6" s="7"/>
      <c r="CQ6" s="14">
        <v>25</v>
      </c>
      <c r="CR6" s="14">
        <v>27</v>
      </c>
      <c r="CS6" s="14">
        <v>29</v>
      </c>
      <c r="CT6" s="14">
        <v>31</v>
      </c>
      <c r="CU6" s="14">
        <v>33</v>
      </c>
      <c r="CV6" s="14">
        <v>35</v>
      </c>
      <c r="CW6" s="14">
        <v>37</v>
      </c>
      <c r="CX6" s="16">
        <v>39</v>
      </c>
      <c r="CY6" s="7" t="s">
        <v>3150</v>
      </c>
      <c r="CZ6" s="7" t="s">
        <v>3151</v>
      </c>
      <c r="DA6" s="7" t="s">
        <v>3152</v>
      </c>
      <c r="DB6" s="7" t="s">
        <v>3153</v>
      </c>
      <c r="DC6" s="7" t="s">
        <v>3154</v>
      </c>
      <c r="DD6" s="7" t="s">
        <v>3155</v>
      </c>
      <c r="DE6" s="7"/>
      <c r="DF6" s="6"/>
      <c r="DG6" s="14">
        <v>25</v>
      </c>
      <c r="DH6" s="14">
        <v>27</v>
      </c>
      <c r="DI6" s="14">
        <v>29</v>
      </c>
      <c r="DJ6" s="14">
        <v>31</v>
      </c>
      <c r="DK6" s="14">
        <v>33</v>
      </c>
      <c r="DL6" s="14">
        <v>35</v>
      </c>
      <c r="DM6" s="14">
        <v>37</v>
      </c>
      <c r="DN6" s="14">
        <v>39</v>
      </c>
      <c r="DO6" s="7"/>
    </row>
    <row r="7" spans="1:119" ht="7.5" customHeight="1" x14ac:dyDescent="0.25"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1"/>
      <c r="BC7" s="54"/>
      <c r="BD7" s="51"/>
      <c r="BE7" s="54"/>
      <c r="BF7" s="54"/>
      <c r="BG7" s="55"/>
      <c r="BH7" s="55"/>
      <c r="BI7" s="55"/>
      <c r="BJ7" s="55"/>
      <c r="BK7" s="55"/>
      <c r="BL7" s="54"/>
      <c r="BM7" s="55"/>
      <c r="BN7" s="54"/>
      <c r="BO7" s="55"/>
      <c r="BP7" s="54"/>
      <c r="BQ7" s="55"/>
      <c r="BR7" s="54"/>
      <c r="BS7" s="54"/>
      <c r="BT7" s="54"/>
      <c r="BU7" s="55"/>
      <c r="BV7" s="55"/>
      <c r="BW7" s="55"/>
      <c r="BX7" s="55"/>
      <c r="BY7" s="55"/>
      <c r="BZ7" s="54"/>
      <c r="CA7" s="55"/>
      <c r="CB7" s="54"/>
      <c r="CC7" s="55"/>
      <c r="CD7" s="54"/>
      <c r="CE7" s="55"/>
      <c r="CF7" s="54"/>
      <c r="CG7" s="7"/>
      <c r="CH7" s="7"/>
      <c r="CI7" s="7"/>
      <c r="CJ7" s="7"/>
      <c r="CK7" s="10"/>
      <c r="CL7" s="10"/>
      <c r="CM7" s="7"/>
      <c r="CN7" s="7"/>
      <c r="CO7" s="7"/>
      <c r="CP7" s="7"/>
      <c r="CQ7" s="7">
        <v>1</v>
      </c>
      <c r="CR7" s="7">
        <v>2</v>
      </c>
      <c r="CS7" s="7">
        <v>3</v>
      </c>
      <c r="CT7" s="7">
        <v>4</v>
      </c>
      <c r="CU7" s="7">
        <v>5</v>
      </c>
      <c r="CV7" s="7">
        <v>6</v>
      </c>
      <c r="CW7" s="7">
        <v>7</v>
      </c>
      <c r="CX7" s="7">
        <v>8</v>
      </c>
      <c r="CY7" s="7"/>
      <c r="CZ7" s="7"/>
      <c r="DA7" s="7"/>
      <c r="DB7" s="7"/>
      <c r="DC7" s="7"/>
      <c r="DD7" s="7"/>
      <c r="DF7" s="3">
        <v>1</v>
      </c>
      <c r="DG7" s="3">
        <v>1</v>
      </c>
      <c r="DH7" s="3">
        <v>2</v>
      </c>
      <c r="DI7" s="3">
        <v>3</v>
      </c>
      <c r="DJ7" s="3">
        <v>4</v>
      </c>
      <c r="DK7" s="3">
        <v>5</v>
      </c>
      <c r="DL7" s="3">
        <v>6</v>
      </c>
      <c r="DM7" s="3">
        <v>7</v>
      </c>
      <c r="DN7" s="3">
        <v>8</v>
      </c>
      <c r="DO7" s="7"/>
    </row>
    <row r="8" spans="1:119" ht="15.75" customHeight="1" x14ac:dyDescent="0.25">
      <c r="H8" s="47"/>
      <c r="I8" s="61"/>
      <c r="J8" s="62" t="e">
        <f>ROUND((H8*menu!#REF!+data!I8*menu!#REF!)/100,0)</f>
        <v>#REF!</v>
      </c>
      <c r="K8" s="47"/>
      <c r="L8" s="61"/>
      <c r="M8" s="62" t="e">
        <f>ROUND((K8*menu!#REF!+data!L8*menu!#REF!)/100,0)</f>
        <v>#REF!</v>
      </c>
      <c r="N8" s="47"/>
      <c r="O8" s="61"/>
      <c r="P8" s="64" t="e">
        <f>ROUND((N8*menu!#REF!+data!O8*menu!#REF!)/100,0)</f>
        <v>#REF!</v>
      </c>
      <c r="Q8" s="47"/>
      <c r="R8" s="61"/>
      <c r="S8" s="62" t="e">
        <f>ROUND((Q8*menu!#REF!+data!R8*menu!#REF!)/100,0)</f>
        <v>#REF!</v>
      </c>
      <c r="T8" s="47"/>
      <c r="U8" s="61"/>
      <c r="V8" s="62" t="e">
        <f>ROUND((T8*menu!#REF!+data!U8*menu!#REF!)/100,0)</f>
        <v>#REF!</v>
      </c>
      <c r="W8" s="47"/>
      <c r="X8" s="61"/>
      <c r="Y8" s="62" t="e">
        <f>ROUND((W8*menu!#REF!+data!X8*menu!#REF!)/100,0)</f>
        <v>#REF!</v>
      </c>
      <c r="Z8" s="47"/>
      <c r="AA8" s="61"/>
      <c r="AB8" s="62" t="e">
        <f>ROUND((Z8*menu!#REF!+data!AA8*menu!#REF!)/100,0)</f>
        <v>#REF!</v>
      </c>
      <c r="AC8" s="61"/>
      <c r="AD8" s="61"/>
      <c r="AE8" s="62" t="e">
        <f>ROUND((AC8*menu!#REF!+data!AD8*menu!#REF!)/100,0)</f>
        <v>#REF!</v>
      </c>
      <c r="AF8" s="47"/>
      <c r="AG8" s="61"/>
      <c r="AH8" s="62" t="e">
        <f>ROUND((AF8*menu!#REF!+data!AG8*menu!#REF!)/100,0)</f>
        <v>#REF!</v>
      </c>
      <c r="AI8" s="47"/>
      <c r="AJ8" s="61"/>
      <c r="AK8" s="62" t="e">
        <f>ROUND((AI8*menu!#REF!+data!AJ8*menu!#REF!)/100,0)</f>
        <v>#REF!</v>
      </c>
      <c r="AL8" s="47"/>
      <c r="AM8" s="61"/>
      <c r="AN8" s="62" t="e">
        <f>ROUND((AL8*menu!#REF!+data!AM8*menu!#REF!)/100,0)</f>
        <v>#REF!</v>
      </c>
      <c r="AO8" s="47"/>
      <c r="AP8" s="61"/>
      <c r="AQ8" s="62" t="e">
        <f>ROUND((AO8*menu!#REF!+data!AP8*menu!#REF!)/100,0)</f>
        <v>#REF!</v>
      </c>
      <c r="AR8" s="47"/>
      <c r="AS8" s="61"/>
      <c r="AT8" s="62" t="e">
        <f>ROUND((AR8*menu!#REF!+data!AS8*menu!#REF!)/100,0)</f>
        <v>#REF!</v>
      </c>
      <c r="AU8" s="47"/>
      <c r="AV8" s="61"/>
      <c r="AW8" s="62" t="e">
        <f>ROUND((AU8*menu!#REF!+data!AV8*menu!#REF!)/100,0)</f>
        <v>#REF!</v>
      </c>
      <c r="AX8" s="47"/>
      <c r="AY8" s="61"/>
      <c r="AZ8" s="62" t="e">
        <f>ROUND((AX8*menu!#REF!+data!AY8*menu!#REF!)/100,0)</f>
        <v>#REF!</v>
      </c>
      <c r="BA8" s="47"/>
      <c r="BB8" s="61"/>
      <c r="BC8" s="62" t="e">
        <f>ROUND((BA8*menu!#REF!+data!BB8*menu!#REF!)/100,0)</f>
        <v>#REF!</v>
      </c>
      <c r="BD8" s="47"/>
      <c r="BE8" s="61"/>
      <c r="BF8" s="62" t="e">
        <f>ROUND((BD8*menu!#REF!+data!BE8*menu!#REF!)/100,0)</f>
        <v>#REF!</v>
      </c>
      <c r="BG8" s="57" t="str">
        <f>IFERROR("Ananda "&amp;PROPER(menu!#REF!)&amp;" kompeten dalam "&amp;data!DA8&amp;", namun perlu ditingkatkan dalam kompetensi "&amp;data!DD8,"")</f>
        <v/>
      </c>
      <c r="BH8" s="41" t="s">
        <v>73</v>
      </c>
      <c r="BI8" s="41" t="s">
        <v>73</v>
      </c>
      <c r="BJ8" s="41" t="s">
        <v>73</v>
      </c>
      <c r="BK8" s="41" t="s">
        <v>73</v>
      </c>
      <c r="BL8" s="58" t="s">
        <v>73</v>
      </c>
      <c r="BM8" s="58"/>
      <c r="BN8" s="59" t="s">
        <v>73</v>
      </c>
      <c r="BO8" s="59"/>
      <c r="BP8" s="58" t="s">
        <v>73</v>
      </c>
      <c r="BQ8" s="58"/>
      <c r="BR8" s="47" t="s">
        <v>73</v>
      </c>
      <c r="BS8" s="48" t="s">
        <v>73</v>
      </c>
      <c r="BT8" s="47" t="s">
        <v>73</v>
      </c>
      <c r="BU8" s="48"/>
      <c r="BV8" s="47"/>
      <c r="BW8" s="48"/>
      <c r="BX8" s="47"/>
      <c r="BY8" s="48"/>
      <c r="BZ8" s="58"/>
      <c r="CA8" s="58"/>
      <c r="CB8" s="41"/>
      <c r="CC8" s="41"/>
      <c r="CD8" s="58"/>
      <c r="CE8" s="58"/>
      <c r="CF8" s="60" t="e">
        <f t="shared" ref="CF8:CF43" si="0">CL8&amp;" "&amp;CM8&amp;" "&amp;CN8&amp;" "&amp;CO8</f>
        <v>#REF!</v>
      </c>
      <c r="CG8" s="17" t="s">
        <v>10</v>
      </c>
      <c r="CH8" s="17"/>
      <c r="CI8" s="17"/>
      <c r="CJ8" s="17"/>
      <c r="CK8" s="8" t="str">
        <f t="shared" ref="CK8:CK43" si="1">IF(SUM(BU8:BY8)&gt;=13,"sangat baik",IF(SUM(BU8:BY8)&gt;=8,"baik",IF(SUM(BU8:BY8)&gt;=2,"cukup","")))</f>
        <v/>
      </c>
      <c r="CL8" s="18" t="e">
        <f>"Ananda "&amp;PROPER(menu!#REF!)&amp;" menunjukkan perkembangan karakter yang "&amp;CK8&amp;" pada pembelajaran semester ini."</f>
        <v>#REF!</v>
      </c>
      <c r="CM8" s="18" t="str">
        <f t="shared" ref="CM8:CM43" si="2">IF(BZ8&lt;&gt;"","Selain itu Ananda memiliki prestasi dalam "&amp;BZ8&amp;" dengan meraih "&amp;CA8&amp;".","")</f>
        <v/>
      </c>
      <c r="CN8" s="18" t="str">
        <f t="shared" ref="CN8:CN43" si="3">IF(CB8&lt;&gt;"",CB8&amp;" dengan meraih "&amp;CC8&amp;".","")</f>
        <v/>
      </c>
      <c r="CO8" s="18" t="str">
        <f t="shared" ref="CO8:CO43" si="4">IF(CD8&lt;&gt;"",CD8&amp;" dengan meraih "&amp;CE8&amp;".","")</f>
        <v/>
      </c>
      <c r="CQ8" s="19" t="str">
        <f t="shared" ref="CQ8:CQ43" si="5">IF(AI8&gt;1,AI8,"")</f>
        <v/>
      </c>
      <c r="CR8" s="20" t="str">
        <f t="shared" ref="CR8:CR43" si="6">IF(AL8&gt;0,AL8,"")</f>
        <v/>
      </c>
      <c r="CS8" s="19" t="str">
        <f t="shared" ref="CS8:CS43" si="7">IF(AO8&gt;1,AO8,"")</f>
        <v/>
      </c>
      <c r="CT8" s="20" t="str">
        <f t="shared" ref="CT8:CT43" si="8">IF(AR8&gt;0,AR8,"")</f>
        <v/>
      </c>
      <c r="CU8" s="21" t="str">
        <f t="shared" ref="CU8:CU43" si="9">IF(AU8&gt;1,AU8,"")</f>
        <v/>
      </c>
      <c r="CV8" s="20" t="str">
        <f t="shared" ref="CV8:CV43" si="10">IF(AX8&gt;0,AX8,"")</f>
        <v/>
      </c>
      <c r="CW8" s="19" t="str">
        <f t="shared" ref="CW8:CW43" si="11">IF(BA8&gt;1,BA8,"")</f>
        <v/>
      </c>
      <c r="CX8" s="20" t="str">
        <f t="shared" ref="CX8:CX43" si="12">IF(BD8&gt;0,BD8,"")</f>
        <v/>
      </c>
      <c r="CY8" s="22">
        <f t="shared" ref="CY8:CY43" si="13">MAX(CQ8:CX8)</f>
        <v>0</v>
      </c>
      <c r="CZ8" s="22" t="e">
        <f t="shared" ref="CZ8:CZ43" si="14">MATCH(CY8,CQ8:CX8,0)</f>
        <v>#N/A</v>
      </c>
      <c r="DA8" s="8" t="e">
        <f t="shared" ref="DA8:DA43" si="15">HLOOKUP(CZ8,$DG$7:$DN$46,DF8,TRUE)</f>
        <v>#N/A</v>
      </c>
      <c r="DB8" s="7">
        <f t="shared" ref="DB8:DB43" si="16">MIN(CQ8:CX8)</f>
        <v>0</v>
      </c>
      <c r="DC8" s="22" t="e">
        <f t="shared" ref="DC8:DC43" si="17">MATCH(DB8,CQ8:CX8,0)</f>
        <v>#N/A</v>
      </c>
      <c r="DD8" s="23" t="e">
        <f t="shared" ref="DD8:DD43" si="18">HLOOKUP(DC8,$DG$7:$DN$46,DF8,TRUE)</f>
        <v>#N/A</v>
      </c>
      <c r="DF8" s="3">
        <v>2</v>
      </c>
      <c r="DG8" s="5" t="e">
        <f>menu!#REF!</f>
        <v>#REF!</v>
      </c>
      <c r="DH8" s="5" t="e">
        <f>menu!#REF!</f>
        <v>#REF!</v>
      </c>
      <c r="DI8" s="5" t="e">
        <f>menu!#REF!</f>
        <v>#REF!</v>
      </c>
      <c r="DJ8" s="5" t="e">
        <f>menu!#REF!</f>
        <v>#REF!</v>
      </c>
      <c r="DK8" s="5" t="e">
        <f>menu!#REF!</f>
        <v>#REF!</v>
      </c>
      <c r="DL8" s="5" t="e">
        <f>menu!#REF!</f>
        <v>#REF!</v>
      </c>
      <c r="DM8" s="5" t="e">
        <f>menu!#REF!</f>
        <v>#REF!</v>
      </c>
      <c r="DN8" s="5" t="e">
        <f>menu!#REF!</f>
        <v>#REF!</v>
      </c>
    </row>
    <row r="9" spans="1:119" ht="15.75" x14ac:dyDescent="0.25">
      <c r="H9" s="47"/>
      <c r="I9" s="61"/>
      <c r="J9" s="62" t="e">
        <f>ROUND((H9*menu!#REF!+data!I9*menu!#REF!)/100,0)</f>
        <v>#REF!</v>
      </c>
      <c r="K9" s="47"/>
      <c r="L9" s="61"/>
      <c r="M9" s="62" t="e">
        <f>ROUND((K9*menu!#REF!+data!L9*menu!#REF!)/100,0)</f>
        <v>#REF!</v>
      </c>
      <c r="N9" s="47"/>
      <c r="O9" s="61"/>
      <c r="P9" s="64" t="e">
        <f>ROUND((N9*menu!#REF!+data!O9*menu!#REF!)/100,0)</f>
        <v>#REF!</v>
      </c>
      <c r="Q9" s="47"/>
      <c r="R9" s="61"/>
      <c r="S9" s="62" t="e">
        <f>ROUND((Q9*menu!#REF!+data!R9*menu!#REF!)/100,0)</f>
        <v>#REF!</v>
      </c>
      <c r="T9" s="47"/>
      <c r="U9" s="61"/>
      <c r="V9" s="62" t="e">
        <f>ROUND((T9*menu!#REF!+data!U9*menu!#REF!)/100,0)</f>
        <v>#REF!</v>
      </c>
      <c r="W9" s="47"/>
      <c r="X9" s="61"/>
      <c r="Y9" s="62" t="e">
        <f>ROUND((W9*menu!#REF!+data!X9*menu!#REF!)/100,0)</f>
        <v>#REF!</v>
      </c>
      <c r="Z9" s="47"/>
      <c r="AA9" s="61"/>
      <c r="AB9" s="62" t="e">
        <f>ROUND((Z9*menu!#REF!+data!AA9*menu!#REF!)/100,0)</f>
        <v>#REF!</v>
      </c>
      <c r="AC9" s="61"/>
      <c r="AD9" s="61"/>
      <c r="AE9" s="62" t="e">
        <f>ROUND((AC9*menu!#REF!+data!AD9*menu!#REF!)/100,0)</f>
        <v>#REF!</v>
      </c>
      <c r="AF9" s="47"/>
      <c r="AG9" s="61"/>
      <c r="AH9" s="62" t="e">
        <f>ROUND((AF9*menu!#REF!+data!AG9*menu!#REF!)/100,0)</f>
        <v>#REF!</v>
      </c>
      <c r="AI9" s="47"/>
      <c r="AJ9" s="61"/>
      <c r="AK9" s="62" t="e">
        <f>ROUND((AI9*menu!#REF!+data!AJ9*menu!#REF!)/100,0)</f>
        <v>#REF!</v>
      </c>
      <c r="AL9" s="47"/>
      <c r="AM9" s="61"/>
      <c r="AN9" s="62" t="e">
        <f>ROUND((AL9*menu!#REF!+data!AM9*menu!#REF!)/100,0)</f>
        <v>#REF!</v>
      </c>
      <c r="AO9" s="47"/>
      <c r="AP9" s="61"/>
      <c r="AQ9" s="62" t="e">
        <f>ROUND((AO9*menu!#REF!+data!AP9*menu!#REF!)/100,0)</f>
        <v>#REF!</v>
      </c>
      <c r="AR9" s="47"/>
      <c r="AS9" s="61"/>
      <c r="AT9" s="62" t="e">
        <f>ROUND((AR9*menu!#REF!+data!AS9*menu!#REF!)/100,0)</f>
        <v>#REF!</v>
      </c>
      <c r="AU9" s="47"/>
      <c r="AV9" s="61"/>
      <c r="AW9" s="62" t="e">
        <f>ROUND((AU9*menu!#REF!+data!AV9*menu!#REF!)/100,0)</f>
        <v>#REF!</v>
      </c>
      <c r="AX9" s="47"/>
      <c r="AY9" s="61"/>
      <c r="AZ9" s="62" t="e">
        <f>ROUND((AX9*menu!#REF!+data!AY9*menu!#REF!)/100,0)</f>
        <v>#REF!</v>
      </c>
      <c r="BA9" s="47"/>
      <c r="BB9" s="61"/>
      <c r="BC9" s="62" t="e">
        <f>ROUND((BA9*menu!#REF!+data!BB9*menu!#REF!)/100,0)</f>
        <v>#REF!</v>
      </c>
      <c r="BD9" s="47"/>
      <c r="BE9" s="61"/>
      <c r="BF9" s="62" t="e">
        <f>ROUND((BD9*menu!#REF!+data!BE9*menu!#REF!)/100,0)</f>
        <v>#REF!</v>
      </c>
      <c r="BG9" s="57" t="str">
        <f>IFERROR("Ananda "&amp;PROPER(menu!B10)&amp;" kompeten dalam "&amp;data!DA9&amp;", namun perlu ditingkatkan dalam kompetensi "&amp;data!DD9,"")</f>
        <v/>
      </c>
      <c r="BH9" s="41" t="s">
        <v>73</v>
      </c>
      <c r="BI9" s="41" t="s">
        <v>73</v>
      </c>
      <c r="BJ9" s="41" t="s">
        <v>73</v>
      </c>
      <c r="BK9" s="41" t="s">
        <v>73</v>
      </c>
      <c r="BL9" s="58" t="s">
        <v>73</v>
      </c>
      <c r="BM9" s="58"/>
      <c r="BN9" s="59" t="s">
        <v>73</v>
      </c>
      <c r="BO9" s="59"/>
      <c r="BP9" s="58" t="s">
        <v>73</v>
      </c>
      <c r="BQ9" s="58"/>
      <c r="BR9" s="47" t="s">
        <v>73</v>
      </c>
      <c r="BS9" s="48" t="s">
        <v>73</v>
      </c>
      <c r="BT9" s="47" t="s">
        <v>73</v>
      </c>
      <c r="BU9" s="48"/>
      <c r="BV9" s="47"/>
      <c r="BW9" s="48"/>
      <c r="BX9" s="47"/>
      <c r="BY9" s="48"/>
      <c r="BZ9" s="58"/>
      <c r="CA9" s="58"/>
      <c r="CB9" s="41"/>
      <c r="CC9" s="41"/>
      <c r="CD9" s="58"/>
      <c r="CE9" s="58"/>
      <c r="CF9" s="60" t="str">
        <f t="shared" si="0"/>
        <v xml:space="preserve">Ananda Agita Ika Lestari menunjukkan perkembangan karakter yang  pada pembelajaran semester ini.   </v>
      </c>
      <c r="CG9" s="17" t="s">
        <v>10</v>
      </c>
      <c r="CH9" s="17"/>
      <c r="CI9" s="17"/>
      <c r="CJ9" s="17"/>
      <c r="CK9" s="8" t="str">
        <f t="shared" si="1"/>
        <v/>
      </c>
      <c r="CL9" s="18" t="str">
        <f>"Ananda "&amp;PROPER(menu!B10)&amp;" menunjukkan perkembangan karakter yang "&amp;CK9&amp;" pada pembelajaran semester ini."</f>
        <v>Ananda Agita Ika Lestari menunjukkan perkembangan karakter yang  pada pembelajaran semester ini.</v>
      </c>
      <c r="CM9" s="18" t="str">
        <f t="shared" si="2"/>
        <v/>
      </c>
      <c r="CN9" s="18" t="str">
        <f t="shared" si="3"/>
        <v/>
      </c>
      <c r="CO9" s="18" t="str">
        <f t="shared" si="4"/>
        <v/>
      </c>
      <c r="CQ9" s="19" t="str">
        <f t="shared" si="5"/>
        <v/>
      </c>
      <c r="CR9" s="20" t="str">
        <f t="shared" si="6"/>
        <v/>
      </c>
      <c r="CS9" s="19" t="str">
        <f t="shared" si="7"/>
        <v/>
      </c>
      <c r="CT9" s="20" t="str">
        <f t="shared" si="8"/>
        <v/>
      </c>
      <c r="CU9" s="21" t="str">
        <f t="shared" si="9"/>
        <v/>
      </c>
      <c r="CV9" s="20" t="str">
        <f t="shared" si="10"/>
        <v/>
      </c>
      <c r="CW9" s="19" t="str">
        <f t="shared" si="11"/>
        <v/>
      </c>
      <c r="CX9" s="20" t="str">
        <f t="shared" si="12"/>
        <v/>
      </c>
      <c r="CY9" s="22">
        <f t="shared" si="13"/>
        <v>0</v>
      </c>
      <c r="CZ9" s="22" t="e">
        <f t="shared" si="14"/>
        <v>#N/A</v>
      </c>
      <c r="DA9" s="8" t="e">
        <f t="shared" si="15"/>
        <v>#N/A</v>
      </c>
      <c r="DB9" s="7">
        <f t="shared" si="16"/>
        <v>0</v>
      </c>
      <c r="DC9" s="22" t="e">
        <f t="shared" si="17"/>
        <v>#N/A</v>
      </c>
      <c r="DD9" s="23" t="e">
        <f t="shared" si="18"/>
        <v>#N/A</v>
      </c>
      <c r="DF9" s="3">
        <v>3</v>
      </c>
      <c r="DG9" s="5" t="e">
        <f t="shared" ref="DG9:DN9" si="19">DG8</f>
        <v>#REF!</v>
      </c>
      <c r="DH9" s="5" t="e">
        <f t="shared" si="19"/>
        <v>#REF!</v>
      </c>
      <c r="DI9" s="5" t="e">
        <f t="shared" si="19"/>
        <v>#REF!</v>
      </c>
      <c r="DJ9" s="5" t="e">
        <f t="shared" si="19"/>
        <v>#REF!</v>
      </c>
      <c r="DK9" s="5" t="e">
        <f t="shared" si="19"/>
        <v>#REF!</v>
      </c>
      <c r="DL9" s="5" t="e">
        <f t="shared" si="19"/>
        <v>#REF!</v>
      </c>
      <c r="DM9" s="5" t="e">
        <f t="shared" si="19"/>
        <v>#REF!</v>
      </c>
      <c r="DN9" s="5" t="e">
        <f t="shared" si="19"/>
        <v>#REF!</v>
      </c>
    </row>
    <row r="10" spans="1:119" ht="15.75" x14ac:dyDescent="0.25">
      <c r="H10" s="47"/>
      <c r="I10" s="61"/>
      <c r="J10" s="62" t="e">
        <f>ROUND((H10*menu!#REF!+data!I10*menu!#REF!)/100,0)</f>
        <v>#REF!</v>
      </c>
      <c r="K10" s="47"/>
      <c r="L10" s="61"/>
      <c r="M10" s="62" t="e">
        <f>ROUND((K10*menu!#REF!+data!L10*menu!#REF!)/100,0)</f>
        <v>#REF!</v>
      </c>
      <c r="N10" s="47"/>
      <c r="O10" s="61"/>
      <c r="P10" s="64" t="e">
        <f>ROUND((N10*menu!#REF!+data!O10*menu!#REF!)/100,0)</f>
        <v>#REF!</v>
      </c>
      <c r="Q10" s="47"/>
      <c r="R10" s="61"/>
      <c r="S10" s="62" t="e">
        <f>ROUND((Q10*menu!#REF!+data!R10*menu!#REF!)/100,0)</f>
        <v>#REF!</v>
      </c>
      <c r="T10" s="47"/>
      <c r="U10" s="61"/>
      <c r="V10" s="62" t="e">
        <f>ROUND((T10*menu!#REF!+data!U10*menu!#REF!)/100,0)</f>
        <v>#REF!</v>
      </c>
      <c r="W10" s="47"/>
      <c r="X10" s="61"/>
      <c r="Y10" s="62" t="e">
        <f>ROUND((W10*menu!#REF!+data!X10*menu!#REF!)/100,0)</f>
        <v>#REF!</v>
      </c>
      <c r="Z10" s="47"/>
      <c r="AA10" s="61"/>
      <c r="AB10" s="62" t="e">
        <f>ROUND((Z10*menu!#REF!+data!AA10*menu!#REF!)/100,0)</f>
        <v>#REF!</v>
      </c>
      <c r="AC10" s="61"/>
      <c r="AD10" s="61"/>
      <c r="AE10" s="62" t="e">
        <f>ROUND((AC10*menu!#REF!+data!AD10*menu!#REF!)/100,0)</f>
        <v>#REF!</v>
      </c>
      <c r="AF10" s="47"/>
      <c r="AG10" s="61"/>
      <c r="AH10" s="62" t="e">
        <f>ROUND((AF10*menu!#REF!+data!AG10*menu!#REF!)/100,0)</f>
        <v>#REF!</v>
      </c>
      <c r="AI10" s="47"/>
      <c r="AJ10" s="61"/>
      <c r="AK10" s="62" t="e">
        <f>ROUND((AI10*menu!#REF!+data!AJ10*menu!#REF!)/100,0)</f>
        <v>#REF!</v>
      </c>
      <c r="AL10" s="47"/>
      <c r="AM10" s="61"/>
      <c r="AN10" s="62" t="e">
        <f>ROUND((AL10*menu!#REF!+data!AM10*menu!#REF!)/100,0)</f>
        <v>#REF!</v>
      </c>
      <c r="AO10" s="47"/>
      <c r="AP10" s="61"/>
      <c r="AQ10" s="62" t="e">
        <f>ROUND((AO10*menu!#REF!+data!AP10*menu!#REF!)/100,0)</f>
        <v>#REF!</v>
      </c>
      <c r="AR10" s="47"/>
      <c r="AS10" s="61"/>
      <c r="AT10" s="62" t="e">
        <f>ROUND((AR10*menu!#REF!+data!AS10*menu!#REF!)/100,0)</f>
        <v>#REF!</v>
      </c>
      <c r="AU10" s="47"/>
      <c r="AV10" s="61"/>
      <c r="AW10" s="62" t="e">
        <f>ROUND((AU10*menu!#REF!+data!AV10*menu!#REF!)/100,0)</f>
        <v>#REF!</v>
      </c>
      <c r="AX10" s="47"/>
      <c r="AY10" s="61"/>
      <c r="AZ10" s="62" t="e">
        <f>ROUND((AX10*menu!#REF!+data!AY10*menu!#REF!)/100,0)</f>
        <v>#REF!</v>
      </c>
      <c r="BA10" s="47"/>
      <c r="BB10" s="61"/>
      <c r="BC10" s="62" t="e">
        <f>ROUND((BA10*menu!#REF!+data!BB10*menu!#REF!)/100,0)</f>
        <v>#REF!</v>
      </c>
      <c r="BD10" s="47"/>
      <c r="BE10" s="61"/>
      <c r="BF10" s="62" t="e">
        <f>ROUND((BD10*menu!#REF!+data!BE10*menu!#REF!)/100,0)</f>
        <v>#REF!</v>
      </c>
      <c r="BG10" s="57" t="str">
        <f>IFERROR("Ananda "&amp;PROPER(menu!B11)&amp;" kompeten dalam "&amp;data!DA10&amp;", namun perlu ditingkatkan dalam kompetensi "&amp;data!DD10,"")</f>
        <v/>
      </c>
      <c r="BH10" s="41" t="s">
        <v>73</v>
      </c>
      <c r="BI10" s="41" t="s">
        <v>73</v>
      </c>
      <c r="BJ10" s="41" t="s">
        <v>73</v>
      </c>
      <c r="BK10" s="41" t="s">
        <v>73</v>
      </c>
      <c r="BL10" s="58" t="s">
        <v>73</v>
      </c>
      <c r="BM10" s="58"/>
      <c r="BN10" s="59" t="s">
        <v>73</v>
      </c>
      <c r="BO10" s="59"/>
      <c r="BP10" s="58" t="s">
        <v>73</v>
      </c>
      <c r="BQ10" s="58"/>
      <c r="BR10" s="47" t="s">
        <v>73</v>
      </c>
      <c r="BS10" s="48" t="s">
        <v>73</v>
      </c>
      <c r="BT10" s="47" t="s">
        <v>73</v>
      </c>
      <c r="BU10" s="48"/>
      <c r="BV10" s="47"/>
      <c r="BW10" s="48"/>
      <c r="BX10" s="47"/>
      <c r="BY10" s="48"/>
      <c r="BZ10" s="58"/>
      <c r="CA10" s="58"/>
      <c r="CB10" s="41"/>
      <c r="CC10" s="41"/>
      <c r="CD10" s="58"/>
      <c r="CE10" s="58"/>
      <c r="CF10" s="60" t="str">
        <f t="shared" si="0"/>
        <v xml:space="preserve">Ananda Anggita Tiyana menunjukkan perkembangan karakter yang  pada pembelajaran semester ini.   </v>
      </c>
      <c r="CG10" s="17" t="s">
        <v>10</v>
      </c>
      <c r="CH10" s="17"/>
      <c r="CI10" s="17"/>
      <c r="CJ10" s="17"/>
      <c r="CK10" s="8" t="str">
        <f t="shared" si="1"/>
        <v/>
      </c>
      <c r="CL10" s="18" t="str">
        <f>"Ananda "&amp;PROPER(menu!B11)&amp;" menunjukkan perkembangan karakter yang "&amp;CK10&amp;" pada pembelajaran semester ini."</f>
        <v>Ananda Anggita Tiyana menunjukkan perkembangan karakter yang  pada pembelajaran semester ini.</v>
      </c>
      <c r="CM10" s="18" t="str">
        <f t="shared" si="2"/>
        <v/>
      </c>
      <c r="CN10" s="18" t="str">
        <f t="shared" si="3"/>
        <v/>
      </c>
      <c r="CO10" s="18" t="str">
        <f t="shared" si="4"/>
        <v/>
      </c>
      <c r="CQ10" s="19" t="str">
        <f t="shared" si="5"/>
        <v/>
      </c>
      <c r="CR10" s="20" t="str">
        <f t="shared" si="6"/>
        <v/>
      </c>
      <c r="CS10" s="19" t="str">
        <f t="shared" si="7"/>
        <v/>
      </c>
      <c r="CT10" s="20" t="str">
        <f t="shared" si="8"/>
        <v/>
      </c>
      <c r="CU10" s="21" t="str">
        <f t="shared" si="9"/>
        <v/>
      </c>
      <c r="CV10" s="20" t="str">
        <f t="shared" si="10"/>
        <v/>
      </c>
      <c r="CW10" s="19" t="str">
        <f t="shared" si="11"/>
        <v/>
      </c>
      <c r="CX10" s="20" t="str">
        <f t="shared" si="12"/>
        <v/>
      </c>
      <c r="CY10" s="22">
        <f t="shared" si="13"/>
        <v>0</v>
      </c>
      <c r="CZ10" s="22" t="e">
        <f t="shared" si="14"/>
        <v>#N/A</v>
      </c>
      <c r="DA10" s="8" t="e">
        <f t="shared" si="15"/>
        <v>#N/A</v>
      </c>
      <c r="DB10" s="7">
        <f t="shared" si="16"/>
        <v>0</v>
      </c>
      <c r="DC10" s="22" t="e">
        <f t="shared" si="17"/>
        <v>#N/A</v>
      </c>
      <c r="DD10" s="23" t="e">
        <f t="shared" si="18"/>
        <v>#N/A</v>
      </c>
      <c r="DF10" s="3">
        <v>4</v>
      </c>
      <c r="DG10" s="5" t="e">
        <f t="shared" ref="DG10:DN10" si="20">DG9</f>
        <v>#REF!</v>
      </c>
      <c r="DH10" s="5" t="e">
        <f t="shared" si="20"/>
        <v>#REF!</v>
      </c>
      <c r="DI10" s="5" t="e">
        <f t="shared" si="20"/>
        <v>#REF!</v>
      </c>
      <c r="DJ10" s="5" t="e">
        <f t="shared" si="20"/>
        <v>#REF!</v>
      </c>
      <c r="DK10" s="5" t="e">
        <f t="shared" si="20"/>
        <v>#REF!</v>
      </c>
      <c r="DL10" s="5" t="e">
        <f t="shared" si="20"/>
        <v>#REF!</v>
      </c>
      <c r="DM10" s="5" t="e">
        <f t="shared" si="20"/>
        <v>#REF!</v>
      </c>
      <c r="DN10" s="5" t="e">
        <f t="shared" si="20"/>
        <v>#REF!</v>
      </c>
    </row>
    <row r="11" spans="1:119" ht="15.75" x14ac:dyDescent="0.25">
      <c r="H11" s="47"/>
      <c r="I11" s="61"/>
      <c r="J11" s="62" t="e">
        <f>ROUND((H11*menu!#REF!+data!I11*menu!#REF!)/100,0)</f>
        <v>#REF!</v>
      </c>
      <c r="K11" s="47"/>
      <c r="L11" s="61"/>
      <c r="M11" s="62" t="e">
        <f>ROUND((K11*menu!#REF!+data!L11*menu!#REF!)/100,0)</f>
        <v>#REF!</v>
      </c>
      <c r="N11" s="47"/>
      <c r="O11" s="61"/>
      <c r="P11" s="64" t="e">
        <f>ROUND((N11*menu!#REF!+data!O11*menu!#REF!)/100,0)</f>
        <v>#REF!</v>
      </c>
      <c r="Q11" s="47"/>
      <c r="R11" s="61"/>
      <c r="S11" s="62" t="e">
        <f>ROUND((Q11*menu!#REF!+data!R11*menu!#REF!)/100,0)</f>
        <v>#REF!</v>
      </c>
      <c r="T11" s="47"/>
      <c r="U11" s="61"/>
      <c r="V11" s="62" t="e">
        <f>ROUND((T11*menu!#REF!+data!U11*menu!#REF!)/100,0)</f>
        <v>#REF!</v>
      </c>
      <c r="W11" s="47"/>
      <c r="X11" s="61"/>
      <c r="Y11" s="62" t="e">
        <f>ROUND((W11*menu!#REF!+data!X11*menu!#REF!)/100,0)</f>
        <v>#REF!</v>
      </c>
      <c r="Z11" s="47"/>
      <c r="AA11" s="61"/>
      <c r="AB11" s="62" t="e">
        <f>ROUND((Z11*menu!#REF!+data!AA11*menu!#REF!)/100,0)</f>
        <v>#REF!</v>
      </c>
      <c r="AC11" s="61"/>
      <c r="AD11" s="61"/>
      <c r="AE11" s="62" t="e">
        <f>ROUND((AC11*menu!#REF!+data!AD11*menu!#REF!)/100,0)</f>
        <v>#REF!</v>
      </c>
      <c r="AF11" s="47"/>
      <c r="AG11" s="61"/>
      <c r="AH11" s="62" t="e">
        <f>ROUND((AF11*menu!#REF!+data!AG11*menu!#REF!)/100,0)</f>
        <v>#REF!</v>
      </c>
      <c r="AI11" s="47"/>
      <c r="AJ11" s="61"/>
      <c r="AK11" s="62" t="e">
        <f>ROUND((AI11*menu!#REF!+data!AJ11*menu!#REF!)/100,0)</f>
        <v>#REF!</v>
      </c>
      <c r="AL11" s="47"/>
      <c r="AM11" s="61"/>
      <c r="AN11" s="62" t="e">
        <f>ROUND((AL11*menu!#REF!+data!AM11*menu!#REF!)/100,0)</f>
        <v>#REF!</v>
      </c>
      <c r="AO11" s="47"/>
      <c r="AP11" s="61"/>
      <c r="AQ11" s="62" t="e">
        <f>ROUND((AO11*menu!#REF!+data!AP11*menu!#REF!)/100,0)</f>
        <v>#REF!</v>
      </c>
      <c r="AR11" s="47"/>
      <c r="AS11" s="61"/>
      <c r="AT11" s="62" t="e">
        <f>ROUND((AR11*menu!#REF!+data!AS11*menu!#REF!)/100,0)</f>
        <v>#REF!</v>
      </c>
      <c r="AU11" s="47"/>
      <c r="AV11" s="61"/>
      <c r="AW11" s="62" t="e">
        <f>ROUND((AU11*menu!#REF!+data!AV11*menu!#REF!)/100,0)</f>
        <v>#REF!</v>
      </c>
      <c r="AX11" s="47"/>
      <c r="AY11" s="61"/>
      <c r="AZ11" s="62" t="e">
        <f>ROUND((AX11*menu!#REF!+data!AY11*menu!#REF!)/100,0)</f>
        <v>#REF!</v>
      </c>
      <c r="BA11" s="47"/>
      <c r="BB11" s="61"/>
      <c r="BC11" s="62" t="e">
        <f>ROUND((BA11*menu!#REF!+data!BB11*menu!#REF!)/100,0)</f>
        <v>#REF!</v>
      </c>
      <c r="BD11" s="47"/>
      <c r="BE11" s="61"/>
      <c r="BF11" s="62" t="e">
        <f>ROUND((BD11*menu!#REF!+data!BE11*menu!#REF!)/100,0)</f>
        <v>#REF!</v>
      </c>
      <c r="BG11" s="57" t="str">
        <f>IFERROR("Ananda "&amp;PROPER(menu!B12)&amp;" kompeten dalam "&amp;data!DA11&amp;", namun perlu ditingkatkan dalam kompetensi "&amp;data!DD11,"")</f>
        <v/>
      </c>
      <c r="BH11" s="41" t="s">
        <v>73</v>
      </c>
      <c r="BI11" s="41" t="s">
        <v>73</v>
      </c>
      <c r="BJ11" s="41" t="s">
        <v>73</v>
      </c>
      <c r="BK11" s="41" t="s">
        <v>73</v>
      </c>
      <c r="BL11" s="58" t="s">
        <v>73</v>
      </c>
      <c r="BM11" s="58"/>
      <c r="BN11" s="59" t="s">
        <v>73</v>
      </c>
      <c r="BO11" s="59"/>
      <c r="BP11" s="58" t="s">
        <v>73</v>
      </c>
      <c r="BQ11" s="58"/>
      <c r="BR11" s="47" t="s">
        <v>73</v>
      </c>
      <c r="BS11" s="48" t="s">
        <v>73</v>
      </c>
      <c r="BT11" s="47" t="s">
        <v>73</v>
      </c>
      <c r="BU11" s="48"/>
      <c r="BV11" s="47"/>
      <c r="BW11" s="48"/>
      <c r="BX11" s="47"/>
      <c r="BY11" s="48"/>
      <c r="BZ11" s="58"/>
      <c r="CA11" s="58"/>
      <c r="CB11" s="41"/>
      <c r="CC11" s="41"/>
      <c r="CD11" s="58"/>
      <c r="CE11" s="58"/>
      <c r="CF11" s="60" t="str">
        <f t="shared" si="0"/>
        <v xml:space="preserve">Ananda Arfaksad Haikal Al Faqih menunjukkan perkembangan karakter yang  pada pembelajaran semester ini.   </v>
      </c>
      <c r="CG11" s="17" t="s">
        <v>10</v>
      </c>
      <c r="CH11" s="17"/>
      <c r="CI11" s="17"/>
      <c r="CJ11" s="17"/>
      <c r="CK11" s="8" t="str">
        <f t="shared" si="1"/>
        <v/>
      </c>
      <c r="CL11" s="18" t="str">
        <f>"Ananda "&amp;PROPER(menu!B12)&amp;" menunjukkan perkembangan karakter yang "&amp;CK11&amp;" pada pembelajaran semester ini."</f>
        <v>Ananda Arfaksad Haikal Al Faqih menunjukkan perkembangan karakter yang  pada pembelajaran semester ini.</v>
      </c>
      <c r="CM11" s="18" t="str">
        <f t="shared" si="2"/>
        <v/>
      </c>
      <c r="CN11" s="18" t="str">
        <f t="shared" si="3"/>
        <v/>
      </c>
      <c r="CO11" s="18" t="str">
        <f t="shared" si="4"/>
        <v/>
      </c>
      <c r="CQ11" s="19" t="str">
        <f t="shared" si="5"/>
        <v/>
      </c>
      <c r="CR11" s="20" t="str">
        <f t="shared" si="6"/>
        <v/>
      </c>
      <c r="CS11" s="19" t="str">
        <f t="shared" si="7"/>
        <v/>
      </c>
      <c r="CT11" s="20" t="str">
        <f t="shared" si="8"/>
        <v/>
      </c>
      <c r="CU11" s="21" t="str">
        <f t="shared" si="9"/>
        <v/>
      </c>
      <c r="CV11" s="20" t="str">
        <f t="shared" si="10"/>
        <v/>
      </c>
      <c r="CW11" s="19" t="str">
        <f t="shared" si="11"/>
        <v/>
      </c>
      <c r="CX11" s="20" t="str">
        <f t="shared" si="12"/>
        <v/>
      </c>
      <c r="CY11" s="22">
        <f t="shared" si="13"/>
        <v>0</v>
      </c>
      <c r="CZ11" s="22" t="e">
        <f t="shared" si="14"/>
        <v>#N/A</v>
      </c>
      <c r="DA11" s="8" t="e">
        <f t="shared" si="15"/>
        <v>#N/A</v>
      </c>
      <c r="DB11" s="7">
        <f t="shared" si="16"/>
        <v>0</v>
      </c>
      <c r="DC11" s="22" t="e">
        <f t="shared" si="17"/>
        <v>#N/A</v>
      </c>
      <c r="DD11" s="23" t="e">
        <f t="shared" si="18"/>
        <v>#N/A</v>
      </c>
      <c r="DF11" s="3">
        <v>5</v>
      </c>
      <c r="DG11" s="5" t="e">
        <f t="shared" ref="DG11:DN11" si="21">DG10</f>
        <v>#REF!</v>
      </c>
      <c r="DH11" s="5" t="e">
        <f t="shared" si="21"/>
        <v>#REF!</v>
      </c>
      <c r="DI11" s="5" t="e">
        <f t="shared" si="21"/>
        <v>#REF!</v>
      </c>
      <c r="DJ11" s="5" t="e">
        <f t="shared" si="21"/>
        <v>#REF!</v>
      </c>
      <c r="DK11" s="5" t="e">
        <f t="shared" si="21"/>
        <v>#REF!</v>
      </c>
      <c r="DL11" s="5" t="e">
        <f t="shared" si="21"/>
        <v>#REF!</v>
      </c>
      <c r="DM11" s="5" t="e">
        <f t="shared" si="21"/>
        <v>#REF!</v>
      </c>
      <c r="DN11" s="5" t="e">
        <f t="shared" si="21"/>
        <v>#REF!</v>
      </c>
    </row>
    <row r="12" spans="1:119" ht="15.75" customHeight="1" x14ac:dyDescent="0.25">
      <c r="H12" s="47"/>
      <c r="I12" s="61"/>
      <c r="J12" s="62" t="e">
        <f>ROUND((H12*menu!#REF!+data!I12*menu!#REF!)/100,0)</f>
        <v>#REF!</v>
      </c>
      <c r="K12" s="47"/>
      <c r="L12" s="61"/>
      <c r="M12" s="62" t="e">
        <f>ROUND((K12*menu!#REF!+data!L12*menu!#REF!)/100,0)</f>
        <v>#REF!</v>
      </c>
      <c r="N12" s="47"/>
      <c r="O12" s="61"/>
      <c r="P12" s="64" t="e">
        <f>ROUND((N12*menu!#REF!+data!O12*menu!#REF!)/100,0)</f>
        <v>#REF!</v>
      </c>
      <c r="Q12" s="47"/>
      <c r="R12" s="61"/>
      <c r="S12" s="62" t="e">
        <f>ROUND((Q12*menu!#REF!+data!R12*menu!#REF!)/100,0)</f>
        <v>#REF!</v>
      </c>
      <c r="T12" s="47"/>
      <c r="U12" s="61"/>
      <c r="V12" s="62" t="e">
        <f>ROUND((T12*menu!#REF!+data!U12*menu!#REF!)/100,0)</f>
        <v>#REF!</v>
      </c>
      <c r="W12" s="47"/>
      <c r="X12" s="61"/>
      <c r="Y12" s="62" t="e">
        <f>ROUND((W12*menu!#REF!+data!X12*menu!#REF!)/100,0)</f>
        <v>#REF!</v>
      </c>
      <c r="Z12" s="47"/>
      <c r="AA12" s="61"/>
      <c r="AB12" s="62" t="e">
        <f>ROUND((Z12*menu!#REF!+data!AA12*menu!#REF!)/100,0)</f>
        <v>#REF!</v>
      </c>
      <c r="AC12" s="61"/>
      <c r="AD12" s="61"/>
      <c r="AE12" s="62" t="e">
        <f>ROUND((AC12*menu!#REF!+data!AD12*menu!#REF!)/100,0)</f>
        <v>#REF!</v>
      </c>
      <c r="AF12" s="47"/>
      <c r="AG12" s="61"/>
      <c r="AH12" s="62" t="e">
        <f>ROUND((AF12*menu!#REF!+data!AG12*menu!#REF!)/100,0)</f>
        <v>#REF!</v>
      </c>
      <c r="AI12" s="47"/>
      <c r="AJ12" s="61"/>
      <c r="AK12" s="62" t="e">
        <f>ROUND((AI12*menu!#REF!+data!AJ12*menu!#REF!)/100,0)</f>
        <v>#REF!</v>
      </c>
      <c r="AL12" s="47"/>
      <c r="AM12" s="61"/>
      <c r="AN12" s="62" t="e">
        <f>ROUND((AL12*menu!#REF!+data!AM12*menu!#REF!)/100,0)</f>
        <v>#REF!</v>
      </c>
      <c r="AO12" s="47"/>
      <c r="AP12" s="61"/>
      <c r="AQ12" s="62" t="e">
        <f>ROUND((AO12*menu!#REF!+data!AP12*menu!#REF!)/100,0)</f>
        <v>#REF!</v>
      </c>
      <c r="AR12" s="47"/>
      <c r="AS12" s="61"/>
      <c r="AT12" s="62" t="e">
        <f>ROUND((AR12*menu!#REF!+data!AS12*menu!#REF!)/100,0)</f>
        <v>#REF!</v>
      </c>
      <c r="AU12" s="47"/>
      <c r="AV12" s="61"/>
      <c r="AW12" s="62" t="e">
        <f>ROUND((AU12*menu!#REF!+data!AV12*menu!#REF!)/100,0)</f>
        <v>#REF!</v>
      </c>
      <c r="AX12" s="47"/>
      <c r="AY12" s="61"/>
      <c r="AZ12" s="62" t="e">
        <f>ROUND((AX12*menu!#REF!+data!AY12*menu!#REF!)/100,0)</f>
        <v>#REF!</v>
      </c>
      <c r="BA12" s="47"/>
      <c r="BB12" s="61"/>
      <c r="BC12" s="62" t="e">
        <f>ROUND((BA12*menu!#REF!+data!BB12*menu!#REF!)/100,0)</f>
        <v>#REF!</v>
      </c>
      <c r="BD12" s="47"/>
      <c r="BE12" s="61"/>
      <c r="BF12" s="62" t="e">
        <f>ROUND((BD12*menu!#REF!+data!BE12*menu!#REF!)/100,0)</f>
        <v>#REF!</v>
      </c>
      <c r="BG12" s="57" t="str">
        <f>IFERROR("Ananda "&amp;PROPER(menu!B13)&amp;" kompeten dalam "&amp;data!DA12&amp;", namun perlu ditingkatkan dalam kompetensi "&amp;data!DD12,"")</f>
        <v/>
      </c>
      <c r="BH12" s="41" t="s">
        <v>73</v>
      </c>
      <c r="BI12" s="41" t="s">
        <v>73</v>
      </c>
      <c r="BJ12" s="41" t="s">
        <v>73</v>
      </c>
      <c r="BK12" s="41" t="s">
        <v>73</v>
      </c>
      <c r="BL12" s="58" t="s">
        <v>73</v>
      </c>
      <c r="BM12" s="58"/>
      <c r="BN12" s="59" t="s">
        <v>73</v>
      </c>
      <c r="BO12" s="59"/>
      <c r="BP12" s="58" t="s">
        <v>73</v>
      </c>
      <c r="BQ12" s="58"/>
      <c r="BR12" s="47" t="s">
        <v>73</v>
      </c>
      <c r="BS12" s="48" t="s">
        <v>73</v>
      </c>
      <c r="BT12" s="47" t="s">
        <v>73</v>
      </c>
      <c r="BU12" s="48"/>
      <c r="BV12" s="47"/>
      <c r="BW12" s="48"/>
      <c r="BX12" s="47"/>
      <c r="BY12" s="48"/>
      <c r="BZ12" s="58"/>
      <c r="CA12" s="58"/>
      <c r="CB12" s="41"/>
      <c r="CC12" s="41"/>
      <c r="CD12" s="58"/>
      <c r="CE12" s="58"/>
      <c r="CF12" s="60" t="str">
        <f t="shared" si="0"/>
        <v xml:space="preserve">Ananda Ayuhana Nurannisa menunjukkan perkembangan karakter yang  pada pembelajaran semester ini.   </v>
      </c>
      <c r="CG12" s="17" t="s">
        <v>10</v>
      </c>
      <c r="CH12" s="17"/>
      <c r="CI12" s="17"/>
      <c r="CJ12" s="4"/>
      <c r="CK12" s="8" t="str">
        <f t="shared" si="1"/>
        <v/>
      </c>
      <c r="CL12" s="18" t="str">
        <f>"Ananda "&amp;PROPER(menu!B13)&amp;" menunjukkan perkembangan karakter yang "&amp;CK12&amp;" pada pembelajaran semester ini."</f>
        <v>Ananda Ayuhana Nurannisa menunjukkan perkembangan karakter yang  pada pembelajaran semester ini.</v>
      </c>
      <c r="CM12" s="18" t="str">
        <f t="shared" si="2"/>
        <v/>
      </c>
      <c r="CN12" s="18" t="str">
        <f t="shared" si="3"/>
        <v/>
      </c>
      <c r="CO12" s="18" t="str">
        <f t="shared" si="4"/>
        <v/>
      </c>
      <c r="CP12" s="17"/>
      <c r="CQ12" s="19" t="str">
        <f t="shared" si="5"/>
        <v/>
      </c>
      <c r="CR12" s="20" t="str">
        <f t="shared" si="6"/>
        <v/>
      </c>
      <c r="CS12" s="19" t="str">
        <f t="shared" si="7"/>
        <v/>
      </c>
      <c r="CT12" s="20" t="str">
        <f t="shared" si="8"/>
        <v/>
      </c>
      <c r="CU12" s="21" t="str">
        <f t="shared" si="9"/>
        <v/>
      </c>
      <c r="CV12" s="20" t="str">
        <f t="shared" si="10"/>
        <v/>
      </c>
      <c r="CW12" s="19" t="str">
        <f t="shared" si="11"/>
        <v/>
      </c>
      <c r="CX12" s="20" t="str">
        <f t="shared" si="12"/>
        <v/>
      </c>
      <c r="CY12" s="22">
        <f t="shared" si="13"/>
        <v>0</v>
      </c>
      <c r="CZ12" s="22" t="e">
        <f t="shared" si="14"/>
        <v>#N/A</v>
      </c>
      <c r="DA12" s="8" t="e">
        <f t="shared" si="15"/>
        <v>#N/A</v>
      </c>
      <c r="DB12" s="7">
        <f t="shared" si="16"/>
        <v>0</v>
      </c>
      <c r="DC12" s="22" t="e">
        <f t="shared" si="17"/>
        <v>#N/A</v>
      </c>
      <c r="DD12" s="23" t="e">
        <f t="shared" si="18"/>
        <v>#N/A</v>
      </c>
      <c r="DF12" s="3">
        <v>6</v>
      </c>
      <c r="DG12" s="5" t="e">
        <f t="shared" ref="DG12:DN12" si="22">DG11</f>
        <v>#REF!</v>
      </c>
      <c r="DH12" s="5" t="e">
        <f t="shared" si="22"/>
        <v>#REF!</v>
      </c>
      <c r="DI12" s="5" t="e">
        <f t="shared" si="22"/>
        <v>#REF!</v>
      </c>
      <c r="DJ12" s="5" t="e">
        <f t="shared" si="22"/>
        <v>#REF!</v>
      </c>
      <c r="DK12" s="5" t="e">
        <f t="shared" si="22"/>
        <v>#REF!</v>
      </c>
      <c r="DL12" s="5" t="e">
        <f t="shared" si="22"/>
        <v>#REF!</v>
      </c>
      <c r="DM12" s="5" t="e">
        <f t="shared" si="22"/>
        <v>#REF!</v>
      </c>
      <c r="DN12" s="5" t="e">
        <f t="shared" si="22"/>
        <v>#REF!</v>
      </c>
      <c r="DO12" s="17"/>
    </row>
    <row r="13" spans="1:119" ht="15.75" x14ac:dyDescent="0.25">
      <c r="H13" s="47"/>
      <c r="I13" s="61"/>
      <c r="J13" s="62" t="e">
        <f>ROUND((H13*menu!#REF!+data!I13*menu!#REF!)/100,0)</f>
        <v>#REF!</v>
      </c>
      <c r="K13" s="47"/>
      <c r="L13" s="61"/>
      <c r="M13" s="62" t="e">
        <f>ROUND((K13*menu!#REF!+data!L13*menu!#REF!)/100,0)</f>
        <v>#REF!</v>
      </c>
      <c r="N13" s="47"/>
      <c r="O13" s="61"/>
      <c r="P13" s="64" t="e">
        <f>ROUND((N13*menu!#REF!+data!O13*menu!#REF!)/100,0)</f>
        <v>#REF!</v>
      </c>
      <c r="Q13" s="47"/>
      <c r="R13" s="61"/>
      <c r="S13" s="62" t="e">
        <f>ROUND((Q13*menu!#REF!+data!R13*menu!#REF!)/100,0)</f>
        <v>#REF!</v>
      </c>
      <c r="T13" s="47"/>
      <c r="U13" s="61"/>
      <c r="V13" s="62" t="e">
        <f>ROUND((T13*menu!#REF!+data!U13*menu!#REF!)/100,0)</f>
        <v>#REF!</v>
      </c>
      <c r="W13" s="47"/>
      <c r="X13" s="61"/>
      <c r="Y13" s="62" t="e">
        <f>ROUND((W13*menu!#REF!+data!X13*menu!#REF!)/100,0)</f>
        <v>#REF!</v>
      </c>
      <c r="Z13" s="47"/>
      <c r="AA13" s="61"/>
      <c r="AB13" s="62" t="e">
        <f>ROUND((Z13*menu!#REF!+data!AA13*menu!#REF!)/100,0)</f>
        <v>#REF!</v>
      </c>
      <c r="AC13" s="61"/>
      <c r="AD13" s="61"/>
      <c r="AE13" s="62" t="e">
        <f>ROUND((AC13*menu!#REF!+data!AD13*menu!#REF!)/100,0)</f>
        <v>#REF!</v>
      </c>
      <c r="AF13" s="47"/>
      <c r="AG13" s="61"/>
      <c r="AH13" s="62" t="e">
        <f>ROUND((AF13*menu!#REF!+data!AG13*menu!#REF!)/100,0)</f>
        <v>#REF!</v>
      </c>
      <c r="AI13" s="47"/>
      <c r="AJ13" s="61"/>
      <c r="AK13" s="62" t="e">
        <f>ROUND((AI13*menu!#REF!+data!AJ13*menu!#REF!)/100,0)</f>
        <v>#REF!</v>
      </c>
      <c r="AL13" s="47"/>
      <c r="AM13" s="61"/>
      <c r="AN13" s="62" t="e">
        <f>ROUND((AL13*menu!#REF!+data!AM13*menu!#REF!)/100,0)</f>
        <v>#REF!</v>
      </c>
      <c r="AO13" s="47"/>
      <c r="AP13" s="61"/>
      <c r="AQ13" s="62" t="e">
        <f>ROUND((AO13*menu!#REF!+data!AP13*menu!#REF!)/100,0)</f>
        <v>#REF!</v>
      </c>
      <c r="AR13" s="47"/>
      <c r="AS13" s="61"/>
      <c r="AT13" s="62" t="e">
        <f>ROUND((AR13*menu!#REF!+data!AS13*menu!#REF!)/100,0)</f>
        <v>#REF!</v>
      </c>
      <c r="AU13" s="47"/>
      <c r="AV13" s="61"/>
      <c r="AW13" s="62" t="e">
        <f>ROUND((AU13*menu!#REF!+data!AV13*menu!#REF!)/100,0)</f>
        <v>#REF!</v>
      </c>
      <c r="AX13" s="47"/>
      <c r="AY13" s="61"/>
      <c r="AZ13" s="62" t="e">
        <f>ROUND((AX13*menu!#REF!+data!AY13*menu!#REF!)/100,0)</f>
        <v>#REF!</v>
      </c>
      <c r="BA13" s="47"/>
      <c r="BB13" s="61"/>
      <c r="BC13" s="62" t="e">
        <f>ROUND((BA13*menu!#REF!+data!BB13*menu!#REF!)/100,0)</f>
        <v>#REF!</v>
      </c>
      <c r="BD13" s="47"/>
      <c r="BE13" s="61"/>
      <c r="BF13" s="62" t="e">
        <f>ROUND((BD13*menu!#REF!+data!BE13*menu!#REF!)/100,0)</f>
        <v>#REF!</v>
      </c>
      <c r="BG13" s="57" t="str">
        <f>IFERROR("Ananda "&amp;PROPER(menu!B14)&amp;" kompeten dalam "&amp;data!DA13&amp;", namun perlu ditingkatkan dalam kompetensi "&amp;data!DD13,"")</f>
        <v/>
      </c>
      <c r="BH13" s="41" t="s">
        <v>73</v>
      </c>
      <c r="BI13" s="41" t="s">
        <v>73</v>
      </c>
      <c r="BJ13" s="41" t="s">
        <v>73</v>
      </c>
      <c r="BK13" s="41" t="s">
        <v>73</v>
      </c>
      <c r="BL13" s="58" t="s">
        <v>73</v>
      </c>
      <c r="BM13" s="58"/>
      <c r="BN13" s="59" t="s">
        <v>73</v>
      </c>
      <c r="BO13" s="59"/>
      <c r="BP13" s="58" t="s">
        <v>73</v>
      </c>
      <c r="BQ13" s="58"/>
      <c r="BR13" s="47" t="s">
        <v>73</v>
      </c>
      <c r="BS13" s="48" t="s">
        <v>73</v>
      </c>
      <c r="BT13" s="47" t="s">
        <v>73</v>
      </c>
      <c r="BU13" s="48"/>
      <c r="BV13" s="47"/>
      <c r="BW13" s="48"/>
      <c r="BX13" s="47"/>
      <c r="BY13" s="48"/>
      <c r="BZ13" s="58"/>
      <c r="CA13" s="58"/>
      <c r="CB13" s="41"/>
      <c r="CC13" s="41"/>
      <c r="CD13" s="58"/>
      <c r="CE13" s="58"/>
      <c r="CF13" s="60" t="str">
        <f t="shared" si="0"/>
        <v xml:space="preserve">Ananda Davina Adira Purnomo menunjukkan perkembangan karakter yang  pada pembelajaran semester ini.   </v>
      </c>
      <c r="CG13" s="17" t="s">
        <v>10</v>
      </c>
      <c r="CH13" s="17"/>
      <c r="CI13" s="17"/>
      <c r="CJ13" s="4"/>
      <c r="CK13" s="8" t="str">
        <f t="shared" si="1"/>
        <v/>
      </c>
      <c r="CL13" s="18" t="str">
        <f>"Ananda "&amp;PROPER(menu!B14)&amp;" menunjukkan perkembangan karakter yang "&amp;CK13&amp;" pada pembelajaran semester ini."</f>
        <v>Ananda Davina Adira Purnomo menunjukkan perkembangan karakter yang  pada pembelajaran semester ini.</v>
      </c>
      <c r="CM13" s="18" t="str">
        <f t="shared" si="2"/>
        <v/>
      </c>
      <c r="CN13" s="18" t="str">
        <f t="shared" si="3"/>
        <v/>
      </c>
      <c r="CO13" s="18" t="str">
        <f t="shared" si="4"/>
        <v/>
      </c>
      <c r="CP13" s="17"/>
      <c r="CQ13" s="19" t="str">
        <f t="shared" si="5"/>
        <v/>
      </c>
      <c r="CR13" s="20" t="str">
        <f t="shared" si="6"/>
        <v/>
      </c>
      <c r="CS13" s="19" t="str">
        <f t="shared" si="7"/>
        <v/>
      </c>
      <c r="CT13" s="20" t="str">
        <f t="shared" si="8"/>
        <v/>
      </c>
      <c r="CU13" s="21" t="str">
        <f t="shared" si="9"/>
        <v/>
      </c>
      <c r="CV13" s="20" t="str">
        <f t="shared" si="10"/>
        <v/>
      </c>
      <c r="CW13" s="19" t="str">
        <f t="shared" si="11"/>
        <v/>
      </c>
      <c r="CX13" s="20" t="str">
        <f t="shared" si="12"/>
        <v/>
      </c>
      <c r="CY13" s="22">
        <f t="shared" si="13"/>
        <v>0</v>
      </c>
      <c r="CZ13" s="22" t="e">
        <f t="shared" si="14"/>
        <v>#N/A</v>
      </c>
      <c r="DA13" s="8" t="e">
        <f t="shared" si="15"/>
        <v>#N/A</v>
      </c>
      <c r="DB13" s="7">
        <f t="shared" si="16"/>
        <v>0</v>
      </c>
      <c r="DC13" s="22" t="e">
        <f t="shared" si="17"/>
        <v>#N/A</v>
      </c>
      <c r="DD13" s="23" t="e">
        <f t="shared" si="18"/>
        <v>#N/A</v>
      </c>
      <c r="DF13" s="3">
        <v>7</v>
      </c>
      <c r="DG13" s="5" t="e">
        <f t="shared" ref="DG13:DN13" si="23">DG12</f>
        <v>#REF!</v>
      </c>
      <c r="DH13" s="5" t="e">
        <f t="shared" si="23"/>
        <v>#REF!</v>
      </c>
      <c r="DI13" s="5" t="e">
        <f t="shared" si="23"/>
        <v>#REF!</v>
      </c>
      <c r="DJ13" s="5" t="e">
        <f t="shared" si="23"/>
        <v>#REF!</v>
      </c>
      <c r="DK13" s="5" t="e">
        <f t="shared" si="23"/>
        <v>#REF!</v>
      </c>
      <c r="DL13" s="5" t="e">
        <f t="shared" si="23"/>
        <v>#REF!</v>
      </c>
      <c r="DM13" s="5" t="e">
        <f t="shared" si="23"/>
        <v>#REF!</v>
      </c>
      <c r="DN13" s="5" t="e">
        <f t="shared" si="23"/>
        <v>#REF!</v>
      </c>
      <c r="DO13" s="17"/>
    </row>
    <row r="14" spans="1:119" ht="15.75" x14ac:dyDescent="0.25">
      <c r="H14" s="47"/>
      <c r="I14" s="61"/>
      <c r="J14" s="62" t="e">
        <f>ROUND((H14*menu!#REF!+data!I14*menu!#REF!)/100,0)</f>
        <v>#REF!</v>
      </c>
      <c r="K14" s="47"/>
      <c r="L14" s="61"/>
      <c r="M14" s="62" t="e">
        <f>ROUND((K14*menu!#REF!+data!L14*menu!#REF!)/100,0)</f>
        <v>#REF!</v>
      </c>
      <c r="N14" s="47"/>
      <c r="O14" s="61"/>
      <c r="P14" s="64" t="e">
        <f>ROUND((N14*menu!#REF!+data!O14*menu!#REF!)/100,0)</f>
        <v>#REF!</v>
      </c>
      <c r="Q14" s="47"/>
      <c r="R14" s="61"/>
      <c r="S14" s="62" t="e">
        <f>ROUND((Q14*menu!#REF!+data!R14*menu!#REF!)/100,0)</f>
        <v>#REF!</v>
      </c>
      <c r="T14" s="47"/>
      <c r="U14" s="61"/>
      <c r="V14" s="62" t="e">
        <f>ROUND((T14*menu!#REF!+data!U14*menu!#REF!)/100,0)</f>
        <v>#REF!</v>
      </c>
      <c r="W14" s="47"/>
      <c r="X14" s="61"/>
      <c r="Y14" s="62" t="e">
        <f>ROUND((W14*menu!#REF!+data!X14*menu!#REF!)/100,0)</f>
        <v>#REF!</v>
      </c>
      <c r="Z14" s="47"/>
      <c r="AA14" s="61"/>
      <c r="AB14" s="62" t="e">
        <f>ROUND((Z14*menu!#REF!+data!AA14*menu!#REF!)/100,0)</f>
        <v>#REF!</v>
      </c>
      <c r="AC14" s="61"/>
      <c r="AD14" s="61"/>
      <c r="AE14" s="62" t="e">
        <f>ROUND((AC14*menu!#REF!+data!AD14*menu!#REF!)/100,0)</f>
        <v>#REF!</v>
      </c>
      <c r="AF14" s="47"/>
      <c r="AG14" s="61"/>
      <c r="AH14" s="62" t="e">
        <f>ROUND((AF14*menu!#REF!+data!AG14*menu!#REF!)/100,0)</f>
        <v>#REF!</v>
      </c>
      <c r="AI14" s="47"/>
      <c r="AJ14" s="61"/>
      <c r="AK14" s="62" t="e">
        <f>ROUND((AI14*menu!#REF!+data!AJ14*menu!#REF!)/100,0)</f>
        <v>#REF!</v>
      </c>
      <c r="AL14" s="47"/>
      <c r="AM14" s="61"/>
      <c r="AN14" s="62" t="e">
        <f>ROUND((AL14*menu!#REF!+data!AM14*menu!#REF!)/100,0)</f>
        <v>#REF!</v>
      </c>
      <c r="AO14" s="47"/>
      <c r="AP14" s="61"/>
      <c r="AQ14" s="62" t="e">
        <f>ROUND((AO14*menu!#REF!+data!AP14*menu!#REF!)/100,0)</f>
        <v>#REF!</v>
      </c>
      <c r="AR14" s="47"/>
      <c r="AS14" s="61"/>
      <c r="AT14" s="62" t="e">
        <f>ROUND((AR14*menu!#REF!+data!AS14*menu!#REF!)/100,0)</f>
        <v>#REF!</v>
      </c>
      <c r="AU14" s="47"/>
      <c r="AV14" s="61"/>
      <c r="AW14" s="62" t="e">
        <f>ROUND((AU14*menu!#REF!+data!AV14*menu!#REF!)/100,0)</f>
        <v>#REF!</v>
      </c>
      <c r="AX14" s="47"/>
      <c r="AY14" s="61"/>
      <c r="AZ14" s="62" t="e">
        <f>ROUND((AX14*menu!#REF!+data!AY14*menu!#REF!)/100,0)</f>
        <v>#REF!</v>
      </c>
      <c r="BA14" s="47"/>
      <c r="BB14" s="61"/>
      <c r="BC14" s="62" t="e">
        <f>ROUND((BA14*menu!#REF!+data!BB14*menu!#REF!)/100,0)</f>
        <v>#REF!</v>
      </c>
      <c r="BD14" s="47"/>
      <c r="BE14" s="61"/>
      <c r="BF14" s="62" t="e">
        <f>ROUND((BD14*menu!#REF!+data!BE14*menu!#REF!)/100,0)</f>
        <v>#REF!</v>
      </c>
      <c r="BG14" s="57" t="str">
        <f>IFERROR("Ananda "&amp;PROPER(menu!B15)&amp;" kompeten dalam "&amp;data!DA14&amp;", namun perlu ditingkatkan dalam kompetensi "&amp;data!DD14,"")</f>
        <v/>
      </c>
      <c r="BH14" s="41" t="s">
        <v>73</v>
      </c>
      <c r="BI14" s="41" t="s">
        <v>73</v>
      </c>
      <c r="BJ14" s="41" t="s">
        <v>73</v>
      </c>
      <c r="BK14" s="41" t="s">
        <v>73</v>
      </c>
      <c r="BL14" s="58" t="s">
        <v>73</v>
      </c>
      <c r="BM14" s="58"/>
      <c r="BN14" s="59" t="s">
        <v>73</v>
      </c>
      <c r="BO14" s="59"/>
      <c r="BP14" s="58" t="s">
        <v>73</v>
      </c>
      <c r="BQ14" s="58"/>
      <c r="BR14" s="47" t="s">
        <v>73</v>
      </c>
      <c r="BS14" s="48" t="s">
        <v>73</v>
      </c>
      <c r="BT14" s="47" t="s">
        <v>73</v>
      </c>
      <c r="BU14" s="48"/>
      <c r="BV14" s="47"/>
      <c r="BW14" s="48"/>
      <c r="BX14" s="47"/>
      <c r="BY14" s="48"/>
      <c r="BZ14" s="58"/>
      <c r="CA14" s="58"/>
      <c r="CB14" s="41"/>
      <c r="CC14" s="41"/>
      <c r="CD14" s="58"/>
      <c r="CE14" s="58"/>
      <c r="CF14" s="60" t="str">
        <f t="shared" si="0"/>
        <v xml:space="preserve">Ananda Devi Aprilia menunjukkan perkembangan karakter yang  pada pembelajaran semester ini.   </v>
      </c>
      <c r="CG14" s="17" t="s">
        <v>10</v>
      </c>
      <c r="CH14" s="17"/>
      <c r="CI14" s="17"/>
      <c r="CJ14" s="4"/>
      <c r="CK14" s="8" t="str">
        <f t="shared" si="1"/>
        <v/>
      </c>
      <c r="CL14" s="18" t="str">
        <f>"Ananda "&amp;PROPER(menu!B15)&amp;" menunjukkan perkembangan karakter yang "&amp;CK14&amp;" pada pembelajaran semester ini."</f>
        <v>Ananda Devi Aprilia menunjukkan perkembangan karakter yang  pada pembelajaran semester ini.</v>
      </c>
      <c r="CM14" s="18" t="str">
        <f t="shared" si="2"/>
        <v/>
      </c>
      <c r="CN14" s="18" t="str">
        <f t="shared" si="3"/>
        <v/>
      </c>
      <c r="CO14" s="18" t="str">
        <f t="shared" si="4"/>
        <v/>
      </c>
      <c r="CP14" s="17"/>
      <c r="CQ14" s="19" t="str">
        <f t="shared" si="5"/>
        <v/>
      </c>
      <c r="CR14" s="20" t="str">
        <f t="shared" si="6"/>
        <v/>
      </c>
      <c r="CS14" s="19" t="str">
        <f t="shared" si="7"/>
        <v/>
      </c>
      <c r="CT14" s="20" t="str">
        <f t="shared" si="8"/>
        <v/>
      </c>
      <c r="CU14" s="21" t="str">
        <f t="shared" si="9"/>
        <v/>
      </c>
      <c r="CV14" s="20" t="str">
        <f t="shared" si="10"/>
        <v/>
      </c>
      <c r="CW14" s="19" t="str">
        <f t="shared" si="11"/>
        <v/>
      </c>
      <c r="CX14" s="20" t="str">
        <f t="shared" si="12"/>
        <v/>
      </c>
      <c r="CY14" s="22">
        <f t="shared" si="13"/>
        <v>0</v>
      </c>
      <c r="CZ14" s="22" t="e">
        <f t="shared" si="14"/>
        <v>#N/A</v>
      </c>
      <c r="DA14" s="8" t="e">
        <f t="shared" si="15"/>
        <v>#N/A</v>
      </c>
      <c r="DB14" s="7">
        <f t="shared" si="16"/>
        <v>0</v>
      </c>
      <c r="DC14" s="22" t="e">
        <f t="shared" si="17"/>
        <v>#N/A</v>
      </c>
      <c r="DD14" s="23" t="e">
        <f t="shared" si="18"/>
        <v>#N/A</v>
      </c>
      <c r="DF14" s="3">
        <v>8</v>
      </c>
      <c r="DG14" s="5" t="e">
        <f t="shared" ref="DG14:DN14" si="24">DG13</f>
        <v>#REF!</v>
      </c>
      <c r="DH14" s="5" t="e">
        <f t="shared" si="24"/>
        <v>#REF!</v>
      </c>
      <c r="DI14" s="5" t="e">
        <f t="shared" si="24"/>
        <v>#REF!</v>
      </c>
      <c r="DJ14" s="5" t="e">
        <f t="shared" si="24"/>
        <v>#REF!</v>
      </c>
      <c r="DK14" s="5" t="e">
        <f t="shared" si="24"/>
        <v>#REF!</v>
      </c>
      <c r="DL14" s="5" t="e">
        <f t="shared" si="24"/>
        <v>#REF!</v>
      </c>
      <c r="DM14" s="5" t="e">
        <f t="shared" si="24"/>
        <v>#REF!</v>
      </c>
      <c r="DN14" s="5" t="e">
        <f t="shared" si="24"/>
        <v>#REF!</v>
      </c>
      <c r="DO14" s="17"/>
    </row>
    <row r="15" spans="1:119" ht="15.75" x14ac:dyDescent="0.25">
      <c r="H15" s="47"/>
      <c r="I15" s="61"/>
      <c r="J15" s="62" t="e">
        <f>ROUND((H15*menu!#REF!+data!I15*menu!#REF!)/100,0)</f>
        <v>#REF!</v>
      </c>
      <c r="K15" s="47"/>
      <c r="L15" s="61"/>
      <c r="M15" s="62" t="e">
        <f>ROUND((K15*menu!#REF!+data!L15*menu!#REF!)/100,0)</f>
        <v>#REF!</v>
      </c>
      <c r="N15" s="47"/>
      <c r="O15" s="61"/>
      <c r="P15" s="64" t="e">
        <f>ROUND((N15*menu!#REF!+data!O15*menu!#REF!)/100,0)</f>
        <v>#REF!</v>
      </c>
      <c r="Q15" s="47"/>
      <c r="R15" s="61"/>
      <c r="S15" s="62" t="e">
        <f>ROUND((Q15*menu!#REF!+data!R15*menu!#REF!)/100,0)</f>
        <v>#REF!</v>
      </c>
      <c r="T15" s="47"/>
      <c r="U15" s="61"/>
      <c r="V15" s="62" t="e">
        <f>ROUND((T15*menu!#REF!+data!U15*menu!#REF!)/100,0)</f>
        <v>#REF!</v>
      </c>
      <c r="W15" s="47"/>
      <c r="X15" s="61"/>
      <c r="Y15" s="62" t="e">
        <f>ROUND((W15*menu!#REF!+data!X15*menu!#REF!)/100,0)</f>
        <v>#REF!</v>
      </c>
      <c r="Z15" s="47"/>
      <c r="AA15" s="61"/>
      <c r="AB15" s="62" t="e">
        <f>ROUND((Z15*menu!#REF!+data!AA15*menu!#REF!)/100,0)</f>
        <v>#REF!</v>
      </c>
      <c r="AC15" s="61"/>
      <c r="AD15" s="61"/>
      <c r="AE15" s="62" t="e">
        <f>ROUND((AC15*menu!#REF!+data!AD15*menu!#REF!)/100,0)</f>
        <v>#REF!</v>
      </c>
      <c r="AF15" s="47"/>
      <c r="AG15" s="61"/>
      <c r="AH15" s="62" t="e">
        <f>ROUND((AF15*menu!#REF!+data!AG15*menu!#REF!)/100,0)</f>
        <v>#REF!</v>
      </c>
      <c r="AI15" s="47"/>
      <c r="AJ15" s="61"/>
      <c r="AK15" s="62" t="e">
        <f>ROUND((AI15*menu!#REF!+data!AJ15*menu!#REF!)/100,0)</f>
        <v>#REF!</v>
      </c>
      <c r="AL15" s="47"/>
      <c r="AM15" s="61"/>
      <c r="AN15" s="62" t="e">
        <f>ROUND((AL15*menu!#REF!+data!AM15*menu!#REF!)/100,0)</f>
        <v>#REF!</v>
      </c>
      <c r="AO15" s="47"/>
      <c r="AP15" s="61"/>
      <c r="AQ15" s="62" t="e">
        <f>ROUND((AO15*menu!#REF!+data!AP15*menu!#REF!)/100,0)</f>
        <v>#REF!</v>
      </c>
      <c r="AR15" s="47"/>
      <c r="AS15" s="61"/>
      <c r="AT15" s="62" t="e">
        <f>ROUND((AR15*menu!#REF!+data!AS15*menu!#REF!)/100,0)</f>
        <v>#REF!</v>
      </c>
      <c r="AU15" s="47"/>
      <c r="AV15" s="61"/>
      <c r="AW15" s="62" t="e">
        <f>ROUND((AU15*menu!#REF!+data!AV15*menu!#REF!)/100,0)</f>
        <v>#REF!</v>
      </c>
      <c r="AX15" s="47"/>
      <c r="AY15" s="61"/>
      <c r="AZ15" s="62" t="e">
        <f>ROUND((AX15*menu!#REF!+data!AY15*menu!#REF!)/100,0)</f>
        <v>#REF!</v>
      </c>
      <c r="BA15" s="47"/>
      <c r="BB15" s="61"/>
      <c r="BC15" s="62" t="e">
        <f>ROUND((BA15*menu!#REF!+data!BB15*menu!#REF!)/100,0)</f>
        <v>#REF!</v>
      </c>
      <c r="BD15" s="47"/>
      <c r="BE15" s="61"/>
      <c r="BF15" s="62" t="e">
        <f>ROUND((BD15*menu!#REF!+data!BE15*menu!#REF!)/100,0)</f>
        <v>#REF!</v>
      </c>
      <c r="BG15" s="57" t="str">
        <f>IFERROR("Ananda "&amp;PROPER(menu!B16)&amp;" kompeten dalam "&amp;data!DA15&amp;", namun perlu ditingkatkan dalam kompetensi "&amp;data!DD15,"")</f>
        <v/>
      </c>
      <c r="BH15" s="41" t="s">
        <v>73</v>
      </c>
      <c r="BI15" s="41" t="s">
        <v>73</v>
      </c>
      <c r="BJ15" s="41" t="s">
        <v>73</v>
      </c>
      <c r="BK15" s="41" t="s">
        <v>73</v>
      </c>
      <c r="BL15" s="58" t="s">
        <v>73</v>
      </c>
      <c r="BM15" s="58"/>
      <c r="BN15" s="59" t="s">
        <v>73</v>
      </c>
      <c r="BO15" s="59"/>
      <c r="BP15" s="58" t="s">
        <v>73</v>
      </c>
      <c r="BQ15" s="58"/>
      <c r="BR15" s="47" t="s">
        <v>73</v>
      </c>
      <c r="BS15" s="48" t="s">
        <v>73</v>
      </c>
      <c r="BT15" s="47" t="s">
        <v>73</v>
      </c>
      <c r="BU15" s="48"/>
      <c r="BV15" s="47"/>
      <c r="BW15" s="48"/>
      <c r="BX15" s="47"/>
      <c r="BY15" s="48"/>
      <c r="BZ15" s="58"/>
      <c r="CA15" s="58"/>
      <c r="CB15" s="41"/>
      <c r="CC15" s="41"/>
      <c r="CD15" s="58"/>
      <c r="CE15" s="58"/>
      <c r="CF15" s="60" t="str">
        <f t="shared" si="0"/>
        <v xml:space="preserve">Ananda Dina Windri Aningrum menunjukkan perkembangan karakter yang  pada pembelajaran semester ini.   </v>
      </c>
      <c r="CG15" s="17" t="s">
        <v>10</v>
      </c>
      <c r="CH15" s="17"/>
      <c r="CI15" s="17"/>
      <c r="CJ15" s="4"/>
      <c r="CK15" s="8" t="str">
        <f t="shared" si="1"/>
        <v/>
      </c>
      <c r="CL15" s="18" t="str">
        <f>"Ananda "&amp;PROPER(menu!B16)&amp;" menunjukkan perkembangan karakter yang "&amp;CK15&amp;" pada pembelajaran semester ini."</f>
        <v>Ananda Dina Windri Aningrum menunjukkan perkembangan karakter yang  pada pembelajaran semester ini.</v>
      </c>
      <c r="CM15" s="18" t="str">
        <f t="shared" si="2"/>
        <v/>
      </c>
      <c r="CN15" s="18" t="str">
        <f t="shared" si="3"/>
        <v/>
      </c>
      <c r="CO15" s="18" t="str">
        <f t="shared" si="4"/>
        <v/>
      </c>
      <c r="CP15" s="17"/>
      <c r="CQ15" s="19" t="str">
        <f t="shared" si="5"/>
        <v/>
      </c>
      <c r="CR15" s="20" t="str">
        <f t="shared" si="6"/>
        <v/>
      </c>
      <c r="CS15" s="19" t="str">
        <f t="shared" si="7"/>
        <v/>
      </c>
      <c r="CT15" s="20" t="str">
        <f t="shared" si="8"/>
        <v/>
      </c>
      <c r="CU15" s="21" t="str">
        <f t="shared" si="9"/>
        <v/>
      </c>
      <c r="CV15" s="20" t="str">
        <f t="shared" si="10"/>
        <v/>
      </c>
      <c r="CW15" s="19" t="str">
        <f t="shared" si="11"/>
        <v/>
      </c>
      <c r="CX15" s="20" t="str">
        <f t="shared" si="12"/>
        <v/>
      </c>
      <c r="CY15" s="22">
        <f t="shared" si="13"/>
        <v>0</v>
      </c>
      <c r="CZ15" s="22" t="e">
        <f t="shared" si="14"/>
        <v>#N/A</v>
      </c>
      <c r="DA15" s="8" t="e">
        <f t="shared" si="15"/>
        <v>#N/A</v>
      </c>
      <c r="DB15" s="7">
        <f t="shared" si="16"/>
        <v>0</v>
      </c>
      <c r="DC15" s="22" t="e">
        <f t="shared" si="17"/>
        <v>#N/A</v>
      </c>
      <c r="DD15" s="23" t="e">
        <f t="shared" si="18"/>
        <v>#N/A</v>
      </c>
      <c r="DF15" s="3">
        <v>9</v>
      </c>
      <c r="DG15" s="5" t="e">
        <f t="shared" ref="DG15:DN15" si="25">DG14</f>
        <v>#REF!</v>
      </c>
      <c r="DH15" s="5" t="e">
        <f t="shared" si="25"/>
        <v>#REF!</v>
      </c>
      <c r="DI15" s="5" t="e">
        <f t="shared" si="25"/>
        <v>#REF!</v>
      </c>
      <c r="DJ15" s="5" t="e">
        <f t="shared" si="25"/>
        <v>#REF!</v>
      </c>
      <c r="DK15" s="5" t="e">
        <f t="shared" si="25"/>
        <v>#REF!</v>
      </c>
      <c r="DL15" s="5" t="e">
        <f t="shared" si="25"/>
        <v>#REF!</v>
      </c>
      <c r="DM15" s="5" t="e">
        <f t="shared" si="25"/>
        <v>#REF!</v>
      </c>
      <c r="DN15" s="5" t="e">
        <f t="shared" si="25"/>
        <v>#REF!</v>
      </c>
      <c r="DO15" s="17"/>
    </row>
    <row r="16" spans="1:119" ht="15.75" x14ac:dyDescent="0.25">
      <c r="H16" s="47"/>
      <c r="I16" s="61"/>
      <c r="J16" s="62" t="e">
        <f>ROUND((H16*menu!#REF!+data!I16*menu!#REF!)/100,0)</f>
        <v>#REF!</v>
      </c>
      <c r="K16" s="47"/>
      <c r="L16" s="61"/>
      <c r="M16" s="62" t="e">
        <f>ROUND((K16*menu!#REF!+data!L16*menu!#REF!)/100,0)</f>
        <v>#REF!</v>
      </c>
      <c r="N16" s="47"/>
      <c r="O16" s="61"/>
      <c r="P16" s="64" t="e">
        <f>ROUND((N16*menu!#REF!+data!O16*menu!#REF!)/100,0)</f>
        <v>#REF!</v>
      </c>
      <c r="Q16" s="47"/>
      <c r="R16" s="61"/>
      <c r="S16" s="62" t="e">
        <f>ROUND((Q16*menu!#REF!+data!R16*menu!#REF!)/100,0)</f>
        <v>#REF!</v>
      </c>
      <c r="T16" s="47"/>
      <c r="U16" s="61"/>
      <c r="V16" s="62" t="e">
        <f>ROUND((T16*menu!#REF!+data!U16*menu!#REF!)/100,0)</f>
        <v>#REF!</v>
      </c>
      <c r="W16" s="47"/>
      <c r="X16" s="61"/>
      <c r="Y16" s="62" t="e">
        <f>ROUND((W16*menu!#REF!+data!X16*menu!#REF!)/100,0)</f>
        <v>#REF!</v>
      </c>
      <c r="Z16" s="47"/>
      <c r="AA16" s="61"/>
      <c r="AB16" s="62" t="e">
        <f>ROUND((Z16*menu!#REF!+data!AA16*menu!#REF!)/100,0)</f>
        <v>#REF!</v>
      </c>
      <c r="AC16" s="61"/>
      <c r="AD16" s="61"/>
      <c r="AE16" s="62" t="e">
        <f>ROUND((AC16*menu!#REF!+data!AD16*menu!#REF!)/100,0)</f>
        <v>#REF!</v>
      </c>
      <c r="AF16" s="47"/>
      <c r="AG16" s="61"/>
      <c r="AH16" s="62" t="e">
        <f>ROUND((AF16*menu!#REF!+data!AG16*menu!#REF!)/100,0)</f>
        <v>#REF!</v>
      </c>
      <c r="AI16" s="47"/>
      <c r="AJ16" s="61"/>
      <c r="AK16" s="62" t="e">
        <f>ROUND((AI16*menu!#REF!+data!AJ16*menu!#REF!)/100,0)</f>
        <v>#REF!</v>
      </c>
      <c r="AL16" s="47"/>
      <c r="AM16" s="61"/>
      <c r="AN16" s="62" t="e">
        <f>ROUND((AL16*menu!#REF!+data!AM16*menu!#REF!)/100,0)</f>
        <v>#REF!</v>
      </c>
      <c r="AO16" s="47"/>
      <c r="AP16" s="61"/>
      <c r="AQ16" s="62" t="e">
        <f>ROUND((AO16*menu!#REF!+data!AP16*menu!#REF!)/100,0)</f>
        <v>#REF!</v>
      </c>
      <c r="AR16" s="47"/>
      <c r="AS16" s="61"/>
      <c r="AT16" s="62" t="e">
        <f>ROUND((AR16*menu!#REF!+data!AS16*menu!#REF!)/100,0)</f>
        <v>#REF!</v>
      </c>
      <c r="AU16" s="47"/>
      <c r="AV16" s="61"/>
      <c r="AW16" s="62" t="e">
        <f>ROUND((AU16*menu!#REF!+data!AV16*menu!#REF!)/100,0)</f>
        <v>#REF!</v>
      </c>
      <c r="AX16" s="47"/>
      <c r="AY16" s="61"/>
      <c r="AZ16" s="62" t="e">
        <f>ROUND((AX16*menu!#REF!+data!AY16*menu!#REF!)/100,0)</f>
        <v>#REF!</v>
      </c>
      <c r="BA16" s="47"/>
      <c r="BB16" s="61"/>
      <c r="BC16" s="62" t="e">
        <f>ROUND((BA16*menu!#REF!+data!BB16*menu!#REF!)/100,0)</f>
        <v>#REF!</v>
      </c>
      <c r="BD16" s="47"/>
      <c r="BE16" s="61"/>
      <c r="BF16" s="62" t="e">
        <f>ROUND((BD16*menu!#REF!+data!BE16*menu!#REF!)/100,0)</f>
        <v>#REF!</v>
      </c>
      <c r="BG16" s="57" t="str">
        <f>IFERROR("Ananda "&amp;PROPER(menu!B17)&amp;" kompeten dalam "&amp;data!DA16&amp;", namun perlu ditingkatkan dalam kompetensi "&amp;data!DD16,"")</f>
        <v/>
      </c>
      <c r="BH16" s="41" t="s">
        <v>73</v>
      </c>
      <c r="BI16" s="41" t="s">
        <v>73</v>
      </c>
      <c r="BJ16" s="41" t="s">
        <v>73</v>
      </c>
      <c r="BK16" s="41" t="s">
        <v>73</v>
      </c>
      <c r="BL16" s="58" t="s">
        <v>73</v>
      </c>
      <c r="BM16" s="58"/>
      <c r="BN16" s="59" t="s">
        <v>73</v>
      </c>
      <c r="BO16" s="59"/>
      <c r="BP16" s="58" t="s">
        <v>73</v>
      </c>
      <c r="BQ16" s="58"/>
      <c r="BR16" s="47" t="s">
        <v>73</v>
      </c>
      <c r="BS16" s="48" t="s">
        <v>73</v>
      </c>
      <c r="BT16" s="47" t="s">
        <v>73</v>
      </c>
      <c r="BU16" s="48"/>
      <c r="BV16" s="47"/>
      <c r="BW16" s="48"/>
      <c r="BX16" s="47"/>
      <c r="BY16" s="48"/>
      <c r="BZ16" s="58"/>
      <c r="CA16" s="58"/>
      <c r="CB16" s="41"/>
      <c r="CC16" s="41"/>
      <c r="CD16" s="58"/>
      <c r="CE16" s="58"/>
      <c r="CF16" s="60" t="str">
        <f t="shared" si="0"/>
        <v xml:space="preserve">Ananda Egin Selvianna menunjukkan perkembangan karakter yang  pada pembelajaran semester ini.   </v>
      </c>
      <c r="CG16" s="17" t="s">
        <v>10</v>
      </c>
      <c r="CH16" s="17"/>
      <c r="CI16" s="17"/>
      <c r="CJ16" s="4"/>
      <c r="CK16" s="8" t="str">
        <f t="shared" si="1"/>
        <v/>
      </c>
      <c r="CL16" s="18" t="str">
        <f>"Ananda "&amp;PROPER(menu!B17)&amp;" menunjukkan perkembangan karakter yang "&amp;CK16&amp;" pada pembelajaran semester ini."</f>
        <v>Ananda Egin Selvianna menunjukkan perkembangan karakter yang  pada pembelajaran semester ini.</v>
      </c>
      <c r="CM16" s="18" t="str">
        <f t="shared" si="2"/>
        <v/>
      </c>
      <c r="CN16" s="18" t="str">
        <f t="shared" si="3"/>
        <v/>
      </c>
      <c r="CO16" s="18" t="str">
        <f t="shared" si="4"/>
        <v/>
      </c>
      <c r="CP16" s="17"/>
      <c r="CQ16" s="19" t="str">
        <f t="shared" si="5"/>
        <v/>
      </c>
      <c r="CR16" s="20" t="str">
        <f t="shared" si="6"/>
        <v/>
      </c>
      <c r="CS16" s="19" t="str">
        <f t="shared" si="7"/>
        <v/>
      </c>
      <c r="CT16" s="20" t="str">
        <f t="shared" si="8"/>
        <v/>
      </c>
      <c r="CU16" s="21" t="str">
        <f t="shared" si="9"/>
        <v/>
      </c>
      <c r="CV16" s="20" t="str">
        <f t="shared" si="10"/>
        <v/>
      </c>
      <c r="CW16" s="19" t="str">
        <f t="shared" si="11"/>
        <v/>
      </c>
      <c r="CX16" s="20" t="str">
        <f t="shared" si="12"/>
        <v/>
      </c>
      <c r="CY16" s="22">
        <f t="shared" si="13"/>
        <v>0</v>
      </c>
      <c r="CZ16" s="22" t="e">
        <f t="shared" si="14"/>
        <v>#N/A</v>
      </c>
      <c r="DA16" s="8" t="e">
        <f t="shared" si="15"/>
        <v>#N/A</v>
      </c>
      <c r="DB16" s="7">
        <f t="shared" si="16"/>
        <v>0</v>
      </c>
      <c r="DC16" s="22" t="e">
        <f t="shared" si="17"/>
        <v>#N/A</v>
      </c>
      <c r="DD16" s="23" t="e">
        <f t="shared" si="18"/>
        <v>#N/A</v>
      </c>
      <c r="DF16" s="3">
        <v>10</v>
      </c>
      <c r="DG16" s="5" t="e">
        <f t="shared" ref="DG16:DN16" si="26">DG15</f>
        <v>#REF!</v>
      </c>
      <c r="DH16" s="5" t="e">
        <f t="shared" si="26"/>
        <v>#REF!</v>
      </c>
      <c r="DI16" s="5" t="e">
        <f t="shared" si="26"/>
        <v>#REF!</v>
      </c>
      <c r="DJ16" s="5" t="e">
        <f t="shared" si="26"/>
        <v>#REF!</v>
      </c>
      <c r="DK16" s="5" t="e">
        <f t="shared" si="26"/>
        <v>#REF!</v>
      </c>
      <c r="DL16" s="5" t="e">
        <f t="shared" si="26"/>
        <v>#REF!</v>
      </c>
      <c r="DM16" s="5" t="e">
        <f t="shared" si="26"/>
        <v>#REF!</v>
      </c>
      <c r="DN16" s="5" t="e">
        <f t="shared" si="26"/>
        <v>#REF!</v>
      </c>
      <c r="DO16" s="17"/>
    </row>
    <row r="17" spans="8:119" ht="15.75" x14ac:dyDescent="0.25">
      <c r="H17" s="47"/>
      <c r="I17" s="61"/>
      <c r="J17" s="62" t="e">
        <f>ROUND((H17*menu!#REF!+data!I17*menu!#REF!)/100,0)</f>
        <v>#REF!</v>
      </c>
      <c r="K17" s="47"/>
      <c r="L17" s="61"/>
      <c r="M17" s="62" t="e">
        <f>ROUND((K17*menu!#REF!+data!L17*menu!#REF!)/100,0)</f>
        <v>#REF!</v>
      </c>
      <c r="N17" s="47"/>
      <c r="O17" s="61"/>
      <c r="P17" s="64" t="e">
        <f>ROUND((N17*menu!#REF!+data!O17*menu!#REF!)/100,0)</f>
        <v>#REF!</v>
      </c>
      <c r="Q17" s="47"/>
      <c r="R17" s="61"/>
      <c r="S17" s="62" t="e">
        <f>ROUND((Q17*menu!#REF!+data!R17*menu!#REF!)/100,0)</f>
        <v>#REF!</v>
      </c>
      <c r="T17" s="47"/>
      <c r="U17" s="61"/>
      <c r="V17" s="62" t="e">
        <f>ROUND((T17*menu!#REF!+data!U17*menu!#REF!)/100,0)</f>
        <v>#REF!</v>
      </c>
      <c r="W17" s="47"/>
      <c r="X17" s="61"/>
      <c r="Y17" s="62" t="e">
        <f>ROUND((W17*menu!#REF!+data!X17*menu!#REF!)/100,0)</f>
        <v>#REF!</v>
      </c>
      <c r="Z17" s="47"/>
      <c r="AA17" s="61"/>
      <c r="AB17" s="62" t="e">
        <f>ROUND((Z17*menu!#REF!+data!AA17*menu!#REF!)/100,0)</f>
        <v>#REF!</v>
      </c>
      <c r="AC17" s="61"/>
      <c r="AD17" s="61"/>
      <c r="AE17" s="62" t="e">
        <f>ROUND((AC17*menu!#REF!+data!AD17*menu!#REF!)/100,0)</f>
        <v>#REF!</v>
      </c>
      <c r="AF17" s="47"/>
      <c r="AG17" s="61"/>
      <c r="AH17" s="62" t="e">
        <f>ROUND((AF17*menu!#REF!+data!AG17*menu!#REF!)/100,0)</f>
        <v>#REF!</v>
      </c>
      <c r="AI17" s="47"/>
      <c r="AJ17" s="61"/>
      <c r="AK17" s="62" t="e">
        <f>ROUND((AI17*menu!#REF!+data!AJ17*menu!#REF!)/100,0)</f>
        <v>#REF!</v>
      </c>
      <c r="AL17" s="47"/>
      <c r="AM17" s="61"/>
      <c r="AN17" s="62" t="e">
        <f>ROUND((AL17*menu!#REF!+data!AM17*menu!#REF!)/100,0)</f>
        <v>#REF!</v>
      </c>
      <c r="AO17" s="47"/>
      <c r="AP17" s="61"/>
      <c r="AQ17" s="62" t="e">
        <f>ROUND((AO17*menu!#REF!+data!AP17*menu!#REF!)/100,0)</f>
        <v>#REF!</v>
      </c>
      <c r="AR17" s="47"/>
      <c r="AS17" s="61"/>
      <c r="AT17" s="62" t="e">
        <f>ROUND((AR17*menu!#REF!+data!AS17*menu!#REF!)/100,0)</f>
        <v>#REF!</v>
      </c>
      <c r="AU17" s="47"/>
      <c r="AV17" s="61"/>
      <c r="AW17" s="62" t="e">
        <f>ROUND((AU17*menu!#REF!+data!AV17*menu!#REF!)/100,0)</f>
        <v>#REF!</v>
      </c>
      <c r="AX17" s="47"/>
      <c r="AY17" s="61"/>
      <c r="AZ17" s="62" t="e">
        <f>ROUND((AX17*menu!#REF!+data!AY17*menu!#REF!)/100,0)</f>
        <v>#REF!</v>
      </c>
      <c r="BA17" s="47"/>
      <c r="BB17" s="61"/>
      <c r="BC17" s="62" t="e">
        <f>ROUND((BA17*menu!#REF!+data!BB17*menu!#REF!)/100,0)</f>
        <v>#REF!</v>
      </c>
      <c r="BD17" s="47"/>
      <c r="BE17" s="61"/>
      <c r="BF17" s="62" t="e">
        <f>ROUND((BD17*menu!#REF!+data!BE17*menu!#REF!)/100,0)</f>
        <v>#REF!</v>
      </c>
      <c r="BG17" s="57" t="str">
        <f>IFERROR("Ananda "&amp;PROPER(menu!B18)&amp;" kompeten dalam "&amp;data!DA17&amp;", namun perlu ditingkatkan dalam kompetensi "&amp;data!DD17,"")</f>
        <v/>
      </c>
      <c r="BH17" s="41" t="s">
        <v>73</v>
      </c>
      <c r="BI17" s="41" t="s">
        <v>73</v>
      </c>
      <c r="BJ17" s="41" t="s">
        <v>73</v>
      </c>
      <c r="BK17" s="41" t="s">
        <v>73</v>
      </c>
      <c r="BL17" s="58" t="s">
        <v>73</v>
      </c>
      <c r="BM17" s="58"/>
      <c r="BN17" s="59" t="s">
        <v>73</v>
      </c>
      <c r="BO17" s="59"/>
      <c r="BP17" s="58" t="s">
        <v>73</v>
      </c>
      <c r="BQ17" s="58"/>
      <c r="BR17" s="47" t="s">
        <v>73</v>
      </c>
      <c r="BS17" s="48" t="s">
        <v>73</v>
      </c>
      <c r="BT17" s="47" t="s">
        <v>73</v>
      </c>
      <c r="BU17" s="48"/>
      <c r="BV17" s="47"/>
      <c r="BW17" s="48"/>
      <c r="BX17" s="47"/>
      <c r="BY17" s="48"/>
      <c r="BZ17" s="58"/>
      <c r="CA17" s="58"/>
      <c r="CB17" s="41"/>
      <c r="CC17" s="41"/>
      <c r="CD17" s="58"/>
      <c r="CE17" s="58"/>
      <c r="CF17" s="60" t="str">
        <f t="shared" si="0"/>
        <v xml:space="preserve">Ananda Elsa Fernanda Saputri menunjukkan perkembangan karakter yang  pada pembelajaran semester ini.   </v>
      </c>
      <c r="CG17" s="17" t="s">
        <v>10</v>
      </c>
      <c r="CH17" s="17"/>
      <c r="CI17" s="17"/>
      <c r="CJ17" s="4"/>
      <c r="CK17" s="8" t="str">
        <f t="shared" si="1"/>
        <v/>
      </c>
      <c r="CL17" s="18" t="str">
        <f>"Ananda "&amp;PROPER(menu!B18)&amp;" menunjukkan perkembangan karakter yang "&amp;CK17&amp;" pada pembelajaran semester ini."</f>
        <v>Ananda Elsa Fernanda Saputri menunjukkan perkembangan karakter yang  pada pembelajaran semester ini.</v>
      </c>
      <c r="CM17" s="18" t="str">
        <f t="shared" si="2"/>
        <v/>
      </c>
      <c r="CN17" s="18" t="str">
        <f t="shared" si="3"/>
        <v/>
      </c>
      <c r="CO17" s="18" t="str">
        <f t="shared" si="4"/>
        <v/>
      </c>
      <c r="CP17" s="17"/>
      <c r="CQ17" s="19" t="str">
        <f t="shared" si="5"/>
        <v/>
      </c>
      <c r="CR17" s="20" t="str">
        <f t="shared" si="6"/>
        <v/>
      </c>
      <c r="CS17" s="19" t="str">
        <f t="shared" si="7"/>
        <v/>
      </c>
      <c r="CT17" s="20" t="str">
        <f t="shared" si="8"/>
        <v/>
      </c>
      <c r="CU17" s="21" t="str">
        <f t="shared" si="9"/>
        <v/>
      </c>
      <c r="CV17" s="20" t="str">
        <f t="shared" si="10"/>
        <v/>
      </c>
      <c r="CW17" s="19" t="str">
        <f t="shared" si="11"/>
        <v/>
      </c>
      <c r="CX17" s="20" t="str">
        <f t="shared" si="12"/>
        <v/>
      </c>
      <c r="CY17" s="22">
        <f t="shared" si="13"/>
        <v>0</v>
      </c>
      <c r="CZ17" s="22" t="e">
        <f t="shared" si="14"/>
        <v>#N/A</v>
      </c>
      <c r="DA17" s="8" t="e">
        <f t="shared" si="15"/>
        <v>#N/A</v>
      </c>
      <c r="DB17" s="7">
        <f t="shared" si="16"/>
        <v>0</v>
      </c>
      <c r="DC17" s="22" t="e">
        <f t="shared" si="17"/>
        <v>#N/A</v>
      </c>
      <c r="DD17" s="23" t="e">
        <f t="shared" si="18"/>
        <v>#N/A</v>
      </c>
      <c r="DF17" s="3">
        <v>11</v>
      </c>
      <c r="DG17" s="5" t="e">
        <f t="shared" ref="DG17:DN17" si="27">DG16</f>
        <v>#REF!</v>
      </c>
      <c r="DH17" s="5" t="e">
        <f t="shared" si="27"/>
        <v>#REF!</v>
      </c>
      <c r="DI17" s="5" t="e">
        <f t="shared" si="27"/>
        <v>#REF!</v>
      </c>
      <c r="DJ17" s="5" t="e">
        <f t="shared" si="27"/>
        <v>#REF!</v>
      </c>
      <c r="DK17" s="5" t="e">
        <f t="shared" si="27"/>
        <v>#REF!</v>
      </c>
      <c r="DL17" s="5" t="e">
        <f t="shared" si="27"/>
        <v>#REF!</v>
      </c>
      <c r="DM17" s="5" t="e">
        <f t="shared" si="27"/>
        <v>#REF!</v>
      </c>
      <c r="DN17" s="5" t="e">
        <f t="shared" si="27"/>
        <v>#REF!</v>
      </c>
      <c r="DO17" s="17"/>
    </row>
    <row r="18" spans="8:119" ht="15.75" x14ac:dyDescent="0.25">
      <c r="H18" s="47"/>
      <c r="I18" s="61"/>
      <c r="J18" s="62" t="e">
        <f>ROUND((H18*menu!#REF!+data!I18*menu!#REF!)/100,0)</f>
        <v>#REF!</v>
      </c>
      <c r="K18" s="47"/>
      <c r="L18" s="61"/>
      <c r="M18" s="62" t="e">
        <f>ROUND((K18*menu!#REF!+data!L18*menu!#REF!)/100,0)</f>
        <v>#REF!</v>
      </c>
      <c r="N18" s="47"/>
      <c r="O18" s="61"/>
      <c r="P18" s="64" t="e">
        <f>ROUND((N18*menu!#REF!+data!O18*menu!#REF!)/100,0)</f>
        <v>#REF!</v>
      </c>
      <c r="Q18" s="47"/>
      <c r="R18" s="61"/>
      <c r="S18" s="62" t="e">
        <f>ROUND((Q18*menu!#REF!+data!R18*menu!#REF!)/100,0)</f>
        <v>#REF!</v>
      </c>
      <c r="T18" s="47"/>
      <c r="U18" s="61"/>
      <c r="V18" s="62" t="e">
        <f>ROUND((T18*menu!#REF!+data!U18*menu!#REF!)/100,0)</f>
        <v>#REF!</v>
      </c>
      <c r="W18" s="47"/>
      <c r="X18" s="61"/>
      <c r="Y18" s="62" t="e">
        <f>ROUND((W18*menu!#REF!+data!X18*menu!#REF!)/100,0)</f>
        <v>#REF!</v>
      </c>
      <c r="Z18" s="47"/>
      <c r="AA18" s="61"/>
      <c r="AB18" s="62" t="e">
        <f>ROUND((Z18*menu!#REF!+data!AA18*menu!#REF!)/100,0)</f>
        <v>#REF!</v>
      </c>
      <c r="AC18" s="61"/>
      <c r="AD18" s="61"/>
      <c r="AE18" s="62" t="e">
        <f>ROUND((AC18*menu!#REF!+data!AD18*menu!#REF!)/100,0)</f>
        <v>#REF!</v>
      </c>
      <c r="AF18" s="47"/>
      <c r="AG18" s="61"/>
      <c r="AH18" s="62" t="e">
        <f>ROUND((AF18*menu!#REF!+data!AG18*menu!#REF!)/100,0)</f>
        <v>#REF!</v>
      </c>
      <c r="AI18" s="47"/>
      <c r="AJ18" s="61"/>
      <c r="AK18" s="62" t="e">
        <f>ROUND((AI18*menu!#REF!+data!AJ18*menu!#REF!)/100,0)</f>
        <v>#REF!</v>
      </c>
      <c r="AL18" s="47"/>
      <c r="AM18" s="61"/>
      <c r="AN18" s="62" t="e">
        <f>ROUND((AL18*menu!#REF!+data!AM18*menu!#REF!)/100,0)</f>
        <v>#REF!</v>
      </c>
      <c r="AO18" s="47"/>
      <c r="AP18" s="61"/>
      <c r="AQ18" s="62" t="e">
        <f>ROUND((AO18*menu!#REF!+data!AP18*menu!#REF!)/100,0)</f>
        <v>#REF!</v>
      </c>
      <c r="AR18" s="47"/>
      <c r="AS18" s="61"/>
      <c r="AT18" s="62" t="e">
        <f>ROUND((AR18*menu!#REF!+data!AS18*menu!#REF!)/100,0)</f>
        <v>#REF!</v>
      </c>
      <c r="AU18" s="47"/>
      <c r="AV18" s="61"/>
      <c r="AW18" s="62" t="e">
        <f>ROUND((AU18*menu!#REF!+data!AV18*menu!#REF!)/100,0)</f>
        <v>#REF!</v>
      </c>
      <c r="AX18" s="47"/>
      <c r="AY18" s="61"/>
      <c r="AZ18" s="62" t="e">
        <f>ROUND((AX18*menu!#REF!+data!AY18*menu!#REF!)/100,0)</f>
        <v>#REF!</v>
      </c>
      <c r="BA18" s="47"/>
      <c r="BB18" s="61"/>
      <c r="BC18" s="62" t="e">
        <f>ROUND((BA18*menu!#REF!+data!BB18*menu!#REF!)/100,0)</f>
        <v>#REF!</v>
      </c>
      <c r="BD18" s="47"/>
      <c r="BE18" s="61"/>
      <c r="BF18" s="62" t="e">
        <f>ROUND((BD18*menu!#REF!+data!BE18*menu!#REF!)/100,0)</f>
        <v>#REF!</v>
      </c>
      <c r="BG18" s="57" t="str">
        <f>IFERROR("Ananda "&amp;PROPER(menu!B19)&amp;" kompeten dalam "&amp;data!DA18&amp;", namun perlu ditingkatkan dalam kompetensi "&amp;data!DD18,"")</f>
        <v/>
      </c>
      <c r="BH18" s="41" t="s">
        <v>73</v>
      </c>
      <c r="BI18" s="41" t="s">
        <v>73</v>
      </c>
      <c r="BJ18" s="41" t="s">
        <v>73</v>
      </c>
      <c r="BK18" s="41" t="s">
        <v>73</v>
      </c>
      <c r="BL18" s="58" t="s">
        <v>73</v>
      </c>
      <c r="BM18" s="58"/>
      <c r="BN18" s="59" t="s">
        <v>73</v>
      </c>
      <c r="BO18" s="59"/>
      <c r="BP18" s="58" t="s">
        <v>73</v>
      </c>
      <c r="BQ18" s="58"/>
      <c r="BR18" s="47" t="s">
        <v>73</v>
      </c>
      <c r="BS18" s="48" t="s">
        <v>73</v>
      </c>
      <c r="BT18" s="47" t="s">
        <v>73</v>
      </c>
      <c r="BU18" s="48"/>
      <c r="BV18" s="47"/>
      <c r="BW18" s="48"/>
      <c r="BX18" s="47"/>
      <c r="BY18" s="48"/>
      <c r="BZ18" s="58"/>
      <c r="CA18" s="58"/>
      <c r="CB18" s="41"/>
      <c r="CC18" s="41"/>
      <c r="CD18" s="58"/>
      <c r="CE18" s="58"/>
      <c r="CF18" s="60" t="str">
        <f t="shared" si="0"/>
        <v xml:space="preserve">Ananda Erna Vatikasari menunjukkan perkembangan karakter yang  pada pembelajaran semester ini.   </v>
      </c>
      <c r="CG18" s="17" t="s">
        <v>10</v>
      </c>
      <c r="CH18" s="17"/>
      <c r="CI18" s="17"/>
      <c r="CJ18" s="4"/>
      <c r="CK18" s="8" t="str">
        <f t="shared" si="1"/>
        <v/>
      </c>
      <c r="CL18" s="18" t="str">
        <f>"Ananda "&amp;PROPER(menu!B19)&amp;" menunjukkan perkembangan karakter yang "&amp;CK18&amp;" pada pembelajaran semester ini."</f>
        <v>Ananda Erna Vatikasari menunjukkan perkembangan karakter yang  pada pembelajaran semester ini.</v>
      </c>
      <c r="CM18" s="18" t="str">
        <f t="shared" si="2"/>
        <v/>
      </c>
      <c r="CN18" s="18" t="str">
        <f t="shared" si="3"/>
        <v/>
      </c>
      <c r="CO18" s="18" t="str">
        <f t="shared" si="4"/>
        <v/>
      </c>
      <c r="CP18" s="17"/>
      <c r="CQ18" s="19" t="str">
        <f t="shared" si="5"/>
        <v/>
      </c>
      <c r="CR18" s="20" t="str">
        <f t="shared" si="6"/>
        <v/>
      </c>
      <c r="CS18" s="19" t="str">
        <f t="shared" si="7"/>
        <v/>
      </c>
      <c r="CT18" s="20" t="str">
        <f t="shared" si="8"/>
        <v/>
      </c>
      <c r="CU18" s="21" t="str">
        <f t="shared" si="9"/>
        <v/>
      </c>
      <c r="CV18" s="20" t="str">
        <f t="shared" si="10"/>
        <v/>
      </c>
      <c r="CW18" s="19" t="str">
        <f t="shared" si="11"/>
        <v/>
      </c>
      <c r="CX18" s="20" t="str">
        <f t="shared" si="12"/>
        <v/>
      </c>
      <c r="CY18" s="22">
        <f t="shared" si="13"/>
        <v>0</v>
      </c>
      <c r="CZ18" s="22" t="e">
        <f t="shared" si="14"/>
        <v>#N/A</v>
      </c>
      <c r="DA18" s="8" t="e">
        <f t="shared" si="15"/>
        <v>#N/A</v>
      </c>
      <c r="DB18" s="7">
        <f t="shared" si="16"/>
        <v>0</v>
      </c>
      <c r="DC18" s="22" t="e">
        <f t="shared" si="17"/>
        <v>#N/A</v>
      </c>
      <c r="DD18" s="23" t="e">
        <f t="shared" si="18"/>
        <v>#N/A</v>
      </c>
      <c r="DF18" s="3">
        <v>12</v>
      </c>
      <c r="DG18" s="5" t="e">
        <f t="shared" ref="DG18:DN18" si="28">DG17</f>
        <v>#REF!</v>
      </c>
      <c r="DH18" s="5" t="e">
        <f t="shared" si="28"/>
        <v>#REF!</v>
      </c>
      <c r="DI18" s="5" t="e">
        <f t="shared" si="28"/>
        <v>#REF!</v>
      </c>
      <c r="DJ18" s="5" t="e">
        <f t="shared" si="28"/>
        <v>#REF!</v>
      </c>
      <c r="DK18" s="5" t="e">
        <f t="shared" si="28"/>
        <v>#REF!</v>
      </c>
      <c r="DL18" s="5" t="e">
        <f t="shared" si="28"/>
        <v>#REF!</v>
      </c>
      <c r="DM18" s="5" t="e">
        <f t="shared" si="28"/>
        <v>#REF!</v>
      </c>
      <c r="DN18" s="5" t="e">
        <f t="shared" si="28"/>
        <v>#REF!</v>
      </c>
      <c r="DO18" s="17"/>
    </row>
    <row r="19" spans="8:119" ht="15.75" x14ac:dyDescent="0.25">
      <c r="H19" s="47"/>
      <c r="I19" s="61"/>
      <c r="J19" s="62" t="e">
        <f>ROUND((H19*menu!#REF!+data!I19*menu!#REF!)/100,0)</f>
        <v>#REF!</v>
      </c>
      <c r="K19" s="47"/>
      <c r="L19" s="61"/>
      <c r="M19" s="62" t="e">
        <f>ROUND((K19*menu!#REF!+data!L19*menu!#REF!)/100,0)</f>
        <v>#REF!</v>
      </c>
      <c r="N19" s="47"/>
      <c r="O19" s="61"/>
      <c r="P19" s="64" t="e">
        <f>ROUND((N19*menu!#REF!+data!O19*menu!#REF!)/100,0)</f>
        <v>#REF!</v>
      </c>
      <c r="Q19" s="47"/>
      <c r="R19" s="61"/>
      <c r="S19" s="62" t="e">
        <f>ROUND((Q19*menu!#REF!+data!R19*menu!#REF!)/100,0)</f>
        <v>#REF!</v>
      </c>
      <c r="T19" s="47"/>
      <c r="U19" s="61"/>
      <c r="V19" s="62" t="e">
        <f>ROUND((T19*menu!#REF!+data!U19*menu!#REF!)/100,0)</f>
        <v>#REF!</v>
      </c>
      <c r="W19" s="47"/>
      <c r="X19" s="61"/>
      <c r="Y19" s="62" t="e">
        <f>ROUND((W19*menu!#REF!+data!X19*menu!#REF!)/100,0)</f>
        <v>#REF!</v>
      </c>
      <c r="Z19" s="47"/>
      <c r="AA19" s="61"/>
      <c r="AB19" s="62" t="e">
        <f>ROUND((Z19*menu!#REF!+data!AA19*menu!#REF!)/100,0)</f>
        <v>#REF!</v>
      </c>
      <c r="AC19" s="61"/>
      <c r="AD19" s="61"/>
      <c r="AE19" s="62" t="e">
        <f>ROUND((AC19*menu!#REF!+data!AD19*menu!#REF!)/100,0)</f>
        <v>#REF!</v>
      </c>
      <c r="AF19" s="47"/>
      <c r="AG19" s="61"/>
      <c r="AH19" s="62" t="e">
        <f>ROUND((AF19*menu!#REF!+data!AG19*menu!#REF!)/100,0)</f>
        <v>#REF!</v>
      </c>
      <c r="AI19" s="47"/>
      <c r="AJ19" s="61"/>
      <c r="AK19" s="62" t="e">
        <f>ROUND((AI19*menu!#REF!+data!AJ19*menu!#REF!)/100,0)</f>
        <v>#REF!</v>
      </c>
      <c r="AL19" s="47"/>
      <c r="AM19" s="61"/>
      <c r="AN19" s="62" t="e">
        <f>ROUND((AL19*menu!#REF!+data!AM19*menu!#REF!)/100,0)</f>
        <v>#REF!</v>
      </c>
      <c r="AO19" s="47"/>
      <c r="AP19" s="61"/>
      <c r="AQ19" s="62" t="e">
        <f>ROUND((AO19*menu!#REF!+data!AP19*menu!#REF!)/100,0)</f>
        <v>#REF!</v>
      </c>
      <c r="AR19" s="47"/>
      <c r="AS19" s="61"/>
      <c r="AT19" s="62" t="e">
        <f>ROUND((AR19*menu!#REF!+data!AS19*menu!#REF!)/100,0)</f>
        <v>#REF!</v>
      </c>
      <c r="AU19" s="47"/>
      <c r="AV19" s="61"/>
      <c r="AW19" s="62" t="e">
        <f>ROUND((AU19*menu!#REF!+data!AV19*menu!#REF!)/100,0)</f>
        <v>#REF!</v>
      </c>
      <c r="AX19" s="47"/>
      <c r="AY19" s="61"/>
      <c r="AZ19" s="62" t="e">
        <f>ROUND((AX19*menu!#REF!+data!AY19*menu!#REF!)/100,0)</f>
        <v>#REF!</v>
      </c>
      <c r="BA19" s="47"/>
      <c r="BB19" s="61"/>
      <c r="BC19" s="62" t="e">
        <f>ROUND((BA19*menu!#REF!+data!BB19*menu!#REF!)/100,0)</f>
        <v>#REF!</v>
      </c>
      <c r="BD19" s="47"/>
      <c r="BE19" s="61"/>
      <c r="BF19" s="62" t="e">
        <f>ROUND((BD19*menu!#REF!+data!BE19*menu!#REF!)/100,0)</f>
        <v>#REF!</v>
      </c>
      <c r="BG19" s="57" t="str">
        <f>IFERROR("Ananda "&amp;PROPER(menu!B20)&amp;" kompeten dalam "&amp;data!DA19&amp;", namun perlu ditingkatkan dalam kompetensi "&amp;data!DD19,"")</f>
        <v/>
      </c>
      <c r="BH19" s="41" t="s">
        <v>73</v>
      </c>
      <c r="BI19" s="41" t="s">
        <v>73</v>
      </c>
      <c r="BJ19" s="41" t="s">
        <v>73</v>
      </c>
      <c r="BK19" s="41" t="s">
        <v>73</v>
      </c>
      <c r="BL19" s="58" t="s">
        <v>73</v>
      </c>
      <c r="BM19" s="58"/>
      <c r="BN19" s="59" t="s">
        <v>73</v>
      </c>
      <c r="BO19" s="59"/>
      <c r="BP19" s="58" t="s">
        <v>73</v>
      </c>
      <c r="BQ19" s="58"/>
      <c r="BR19" s="47" t="s">
        <v>73</v>
      </c>
      <c r="BS19" s="48" t="s">
        <v>73</v>
      </c>
      <c r="BT19" s="47" t="s">
        <v>73</v>
      </c>
      <c r="BU19" s="48"/>
      <c r="BV19" s="47"/>
      <c r="BW19" s="48"/>
      <c r="BX19" s="47"/>
      <c r="BY19" s="48"/>
      <c r="BZ19" s="58"/>
      <c r="CA19" s="58"/>
      <c r="CB19" s="41"/>
      <c r="CC19" s="41"/>
      <c r="CD19" s="58"/>
      <c r="CE19" s="58"/>
      <c r="CF19" s="60" t="str">
        <f t="shared" si="0"/>
        <v xml:space="preserve">Ananda Fatin Fauziana menunjukkan perkembangan karakter yang  pada pembelajaran semester ini.   </v>
      </c>
      <c r="CG19" s="17" t="s">
        <v>10</v>
      </c>
      <c r="CH19" s="17"/>
      <c r="CI19" s="17"/>
      <c r="CJ19" s="4"/>
      <c r="CK19" s="8" t="str">
        <f t="shared" si="1"/>
        <v/>
      </c>
      <c r="CL19" s="18" t="str">
        <f>"Ananda "&amp;PROPER(menu!B20)&amp;" menunjukkan perkembangan karakter yang "&amp;CK19&amp;" pada pembelajaran semester ini."</f>
        <v>Ananda Fatin Fauziana menunjukkan perkembangan karakter yang  pada pembelajaran semester ini.</v>
      </c>
      <c r="CM19" s="18" t="str">
        <f t="shared" si="2"/>
        <v/>
      </c>
      <c r="CN19" s="18" t="str">
        <f t="shared" si="3"/>
        <v/>
      </c>
      <c r="CO19" s="18" t="str">
        <f t="shared" si="4"/>
        <v/>
      </c>
      <c r="CP19" s="17"/>
      <c r="CQ19" s="19" t="str">
        <f t="shared" si="5"/>
        <v/>
      </c>
      <c r="CR19" s="20" t="str">
        <f t="shared" si="6"/>
        <v/>
      </c>
      <c r="CS19" s="19" t="str">
        <f t="shared" si="7"/>
        <v/>
      </c>
      <c r="CT19" s="20" t="str">
        <f t="shared" si="8"/>
        <v/>
      </c>
      <c r="CU19" s="21" t="str">
        <f t="shared" si="9"/>
        <v/>
      </c>
      <c r="CV19" s="20" t="str">
        <f t="shared" si="10"/>
        <v/>
      </c>
      <c r="CW19" s="19" t="str">
        <f t="shared" si="11"/>
        <v/>
      </c>
      <c r="CX19" s="20" t="str">
        <f t="shared" si="12"/>
        <v/>
      </c>
      <c r="CY19" s="22">
        <f t="shared" si="13"/>
        <v>0</v>
      </c>
      <c r="CZ19" s="22" t="e">
        <f t="shared" si="14"/>
        <v>#N/A</v>
      </c>
      <c r="DA19" s="8" t="e">
        <f t="shared" si="15"/>
        <v>#N/A</v>
      </c>
      <c r="DB19" s="7">
        <f t="shared" si="16"/>
        <v>0</v>
      </c>
      <c r="DC19" s="22" t="e">
        <f t="shared" si="17"/>
        <v>#N/A</v>
      </c>
      <c r="DD19" s="23" t="e">
        <f t="shared" si="18"/>
        <v>#N/A</v>
      </c>
      <c r="DF19" s="3">
        <v>13</v>
      </c>
      <c r="DG19" s="5" t="e">
        <f t="shared" ref="DG19:DN19" si="29">DG18</f>
        <v>#REF!</v>
      </c>
      <c r="DH19" s="5" t="e">
        <f t="shared" si="29"/>
        <v>#REF!</v>
      </c>
      <c r="DI19" s="5" t="e">
        <f t="shared" si="29"/>
        <v>#REF!</v>
      </c>
      <c r="DJ19" s="5" t="e">
        <f t="shared" si="29"/>
        <v>#REF!</v>
      </c>
      <c r="DK19" s="5" t="e">
        <f t="shared" si="29"/>
        <v>#REF!</v>
      </c>
      <c r="DL19" s="5" t="e">
        <f t="shared" si="29"/>
        <v>#REF!</v>
      </c>
      <c r="DM19" s="5" t="e">
        <f t="shared" si="29"/>
        <v>#REF!</v>
      </c>
      <c r="DN19" s="5" t="e">
        <f t="shared" si="29"/>
        <v>#REF!</v>
      </c>
      <c r="DO19" s="17"/>
    </row>
    <row r="20" spans="8:119" ht="15.75" customHeight="1" x14ac:dyDescent="0.25">
      <c r="H20" s="47"/>
      <c r="I20" s="61"/>
      <c r="J20" s="62" t="e">
        <f>ROUND((H20*menu!#REF!+data!I20*menu!#REF!)/100,0)</f>
        <v>#REF!</v>
      </c>
      <c r="K20" s="47"/>
      <c r="L20" s="61"/>
      <c r="M20" s="62" t="e">
        <f>ROUND((K20*menu!#REF!+data!L20*menu!#REF!)/100,0)</f>
        <v>#REF!</v>
      </c>
      <c r="N20" s="47"/>
      <c r="O20" s="61"/>
      <c r="P20" s="64" t="e">
        <f>ROUND((N20*menu!#REF!+data!O20*menu!#REF!)/100,0)</f>
        <v>#REF!</v>
      </c>
      <c r="Q20" s="47"/>
      <c r="R20" s="61"/>
      <c r="S20" s="62" t="e">
        <f>ROUND((Q20*menu!#REF!+data!R20*menu!#REF!)/100,0)</f>
        <v>#REF!</v>
      </c>
      <c r="T20" s="47"/>
      <c r="U20" s="61"/>
      <c r="V20" s="62" t="e">
        <f>ROUND((T20*menu!#REF!+data!U20*menu!#REF!)/100,0)</f>
        <v>#REF!</v>
      </c>
      <c r="W20" s="47"/>
      <c r="X20" s="61"/>
      <c r="Y20" s="62" t="e">
        <f>ROUND((W20*menu!#REF!+data!X20*menu!#REF!)/100,0)</f>
        <v>#REF!</v>
      </c>
      <c r="Z20" s="47"/>
      <c r="AA20" s="61"/>
      <c r="AB20" s="62" t="e">
        <f>ROUND((Z20*menu!#REF!+data!AA20*menu!#REF!)/100,0)</f>
        <v>#REF!</v>
      </c>
      <c r="AC20" s="61"/>
      <c r="AD20" s="61"/>
      <c r="AE20" s="62" t="e">
        <f>ROUND((AC20*menu!#REF!+data!AD20*menu!#REF!)/100,0)</f>
        <v>#REF!</v>
      </c>
      <c r="AF20" s="47"/>
      <c r="AG20" s="61"/>
      <c r="AH20" s="62" t="e">
        <f>ROUND((AF20*menu!#REF!+data!AG20*menu!#REF!)/100,0)</f>
        <v>#REF!</v>
      </c>
      <c r="AI20" s="47"/>
      <c r="AJ20" s="61"/>
      <c r="AK20" s="62" t="e">
        <f>ROUND((AI20*menu!#REF!+data!AJ20*menu!#REF!)/100,0)</f>
        <v>#REF!</v>
      </c>
      <c r="AL20" s="47"/>
      <c r="AM20" s="61"/>
      <c r="AN20" s="62" t="e">
        <f>ROUND((AL20*menu!#REF!+data!AM20*menu!#REF!)/100,0)</f>
        <v>#REF!</v>
      </c>
      <c r="AO20" s="47"/>
      <c r="AP20" s="61"/>
      <c r="AQ20" s="62" t="e">
        <f>ROUND((AO20*menu!#REF!+data!AP20*menu!#REF!)/100,0)</f>
        <v>#REF!</v>
      </c>
      <c r="AR20" s="47"/>
      <c r="AS20" s="61"/>
      <c r="AT20" s="62" t="e">
        <f>ROUND((AR20*menu!#REF!+data!AS20*menu!#REF!)/100,0)</f>
        <v>#REF!</v>
      </c>
      <c r="AU20" s="47"/>
      <c r="AV20" s="61"/>
      <c r="AW20" s="62" t="e">
        <f>ROUND((AU20*menu!#REF!+data!AV20*menu!#REF!)/100,0)</f>
        <v>#REF!</v>
      </c>
      <c r="AX20" s="47"/>
      <c r="AY20" s="61"/>
      <c r="AZ20" s="62" t="e">
        <f>ROUND((AX20*menu!#REF!+data!AY20*menu!#REF!)/100,0)</f>
        <v>#REF!</v>
      </c>
      <c r="BA20" s="47"/>
      <c r="BB20" s="61"/>
      <c r="BC20" s="62" t="e">
        <f>ROUND((BA20*menu!#REF!+data!BB20*menu!#REF!)/100,0)</f>
        <v>#REF!</v>
      </c>
      <c r="BD20" s="47"/>
      <c r="BE20" s="61"/>
      <c r="BF20" s="62" t="e">
        <f>ROUND((BD20*menu!#REF!+data!BE20*menu!#REF!)/100,0)</f>
        <v>#REF!</v>
      </c>
      <c r="BG20" s="57" t="str">
        <f>IFERROR("Ananda "&amp;PROPER(menu!B21)&amp;" kompeten dalam "&amp;data!DA20&amp;", namun perlu ditingkatkan dalam kompetensi "&amp;data!DD20,"")</f>
        <v/>
      </c>
      <c r="BH20" s="41" t="s">
        <v>73</v>
      </c>
      <c r="BI20" s="41" t="s">
        <v>73</v>
      </c>
      <c r="BJ20" s="41" t="s">
        <v>73</v>
      </c>
      <c r="BK20" s="41" t="s">
        <v>73</v>
      </c>
      <c r="BL20" s="58" t="s">
        <v>73</v>
      </c>
      <c r="BM20" s="58"/>
      <c r="BN20" s="59" t="s">
        <v>73</v>
      </c>
      <c r="BO20" s="59"/>
      <c r="BP20" s="58" t="s">
        <v>73</v>
      </c>
      <c r="BQ20" s="58"/>
      <c r="BR20" s="47" t="s">
        <v>73</v>
      </c>
      <c r="BS20" s="48" t="s">
        <v>73</v>
      </c>
      <c r="BT20" s="47" t="s">
        <v>73</v>
      </c>
      <c r="BU20" s="48"/>
      <c r="BV20" s="47"/>
      <c r="BW20" s="48"/>
      <c r="BX20" s="47"/>
      <c r="BY20" s="48"/>
      <c r="BZ20" s="58"/>
      <c r="CA20" s="58"/>
      <c r="CB20" s="41"/>
      <c r="CC20" s="41"/>
      <c r="CD20" s="58"/>
      <c r="CE20" s="58"/>
      <c r="CF20" s="60" t="str">
        <f t="shared" si="0"/>
        <v xml:space="preserve">Ananda Feni Anastasia menunjukkan perkembangan karakter yang  pada pembelajaran semester ini.   </v>
      </c>
      <c r="CG20" s="17" t="s">
        <v>10</v>
      </c>
      <c r="CH20" s="17"/>
      <c r="CI20" s="17"/>
      <c r="CJ20" s="4"/>
      <c r="CK20" s="8" t="str">
        <f t="shared" si="1"/>
        <v/>
      </c>
      <c r="CL20" s="18" t="str">
        <f>"Ananda "&amp;PROPER(menu!B21)&amp;" menunjukkan perkembangan karakter yang "&amp;CK20&amp;" pada pembelajaran semester ini."</f>
        <v>Ananda Feni Anastasia menunjukkan perkembangan karakter yang  pada pembelajaran semester ini.</v>
      </c>
      <c r="CM20" s="18" t="str">
        <f t="shared" si="2"/>
        <v/>
      </c>
      <c r="CN20" s="18" t="str">
        <f t="shared" si="3"/>
        <v/>
      </c>
      <c r="CO20" s="18" t="str">
        <f t="shared" si="4"/>
        <v/>
      </c>
      <c r="CP20" s="17"/>
      <c r="CQ20" s="19" t="str">
        <f t="shared" si="5"/>
        <v/>
      </c>
      <c r="CR20" s="20" t="str">
        <f t="shared" si="6"/>
        <v/>
      </c>
      <c r="CS20" s="19" t="str">
        <f t="shared" si="7"/>
        <v/>
      </c>
      <c r="CT20" s="20" t="str">
        <f t="shared" si="8"/>
        <v/>
      </c>
      <c r="CU20" s="21" t="str">
        <f t="shared" si="9"/>
        <v/>
      </c>
      <c r="CV20" s="20" t="str">
        <f t="shared" si="10"/>
        <v/>
      </c>
      <c r="CW20" s="19" t="str">
        <f t="shared" si="11"/>
        <v/>
      </c>
      <c r="CX20" s="20" t="str">
        <f t="shared" si="12"/>
        <v/>
      </c>
      <c r="CY20" s="22">
        <f t="shared" si="13"/>
        <v>0</v>
      </c>
      <c r="CZ20" s="22" t="e">
        <f t="shared" si="14"/>
        <v>#N/A</v>
      </c>
      <c r="DA20" s="8" t="e">
        <f t="shared" si="15"/>
        <v>#N/A</v>
      </c>
      <c r="DB20" s="7">
        <f t="shared" si="16"/>
        <v>0</v>
      </c>
      <c r="DC20" s="22" t="e">
        <f t="shared" si="17"/>
        <v>#N/A</v>
      </c>
      <c r="DD20" s="23" t="e">
        <f t="shared" si="18"/>
        <v>#N/A</v>
      </c>
      <c r="DF20" s="3">
        <v>14</v>
      </c>
      <c r="DG20" s="5" t="e">
        <f t="shared" ref="DG20:DN20" si="30">DG19</f>
        <v>#REF!</v>
      </c>
      <c r="DH20" s="5" t="e">
        <f t="shared" si="30"/>
        <v>#REF!</v>
      </c>
      <c r="DI20" s="5" t="e">
        <f t="shared" si="30"/>
        <v>#REF!</v>
      </c>
      <c r="DJ20" s="5" t="e">
        <f t="shared" si="30"/>
        <v>#REF!</v>
      </c>
      <c r="DK20" s="5" t="e">
        <f t="shared" si="30"/>
        <v>#REF!</v>
      </c>
      <c r="DL20" s="5" t="e">
        <f t="shared" si="30"/>
        <v>#REF!</v>
      </c>
      <c r="DM20" s="5" t="e">
        <f t="shared" si="30"/>
        <v>#REF!</v>
      </c>
      <c r="DN20" s="5" t="e">
        <f t="shared" si="30"/>
        <v>#REF!</v>
      </c>
      <c r="DO20" s="17"/>
    </row>
    <row r="21" spans="8:119" ht="15.75" customHeight="1" x14ac:dyDescent="0.25">
      <c r="H21" s="47"/>
      <c r="I21" s="61"/>
      <c r="J21" s="62" t="e">
        <f>ROUND((H21*menu!#REF!+data!I21*menu!#REF!)/100,0)</f>
        <v>#REF!</v>
      </c>
      <c r="K21" s="47"/>
      <c r="L21" s="61"/>
      <c r="M21" s="62" t="e">
        <f>ROUND((K21*menu!#REF!+data!L21*menu!#REF!)/100,0)</f>
        <v>#REF!</v>
      </c>
      <c r="N21" s="47"/>
      <c r="O21" s="61"/>
      <c r="P21" s="64" t="e">
        <f>ROUND((N21*menu!#REF!+data!O21*menu!#REF!)/100,0)</f>
        <v>#REF!</v>
      </c>
      <c r="Q21" s="47"/>
      <c r="R21" s="61"/>
      <c r="S21" s="62" t="e">
        <f>ROUND((Q21*menu!#REF!+data!R21*menu!#REF!)/100,0)</f>
        <v>#REF!</v>
      </c>
      <c r="T21" s="47"/>
      <c r="U21" s="61"/>
      <c r="V21" s="62" t="e">
        <f>ROUND((T21*menu!#REF!+data!U21*menu!#REF!)/100,0)</f>
        <v>#REF!</v>
      </c>
      <c r="W21" s="47"/>
      <c r="X21" s="61"/>
      <c r="Y21" s="62" t="e">
        <f>ROUND((W21*menu!#REF!+data!X21*menu!#REF!)/100,0)</f>
        <v>#REF!</v>
      </c>
      <c r="Z21" s="47"/>
      <c r="AA21" s="61"/>
      <c r="AB21" s="62" t="e">
        <f>ROUND((Z21*menu!#REF!+data!AA21*menu!#REF!)/100,0)</f>
        <v>#REF!</v>
      </c>
      <c r="AC21" s="61"/>
      <c r="AD21" s="61"/>
      <c r="AE21" s="62" t="e">
        <f>ROUND((AC21*menu!#REF!+data!AD21*menu!#REF!)/100,0)</f>
        <v>#REF!</v>
      </c>
      <c r="AF21" s="47"/>
      <c r="AG21" s="61"/>
      <c r="AH21" s="62" t="e">
        <f>ROUND((AF21*menu!#REF!+data!AG21*menu!#REF!)/100,0)</f>
        <v>#REF!</v>
      </c>
      <c r="AI21" s="47"/>
      <c r="AJ21" s="61"/>
      <c r="AK21" s="62" t="e">
        <f>ROUND((AI21*menu!#REF!+data!AJ21*menu!#REF!)/100,0)</f>
        <v>#REF!</v>
      </c>
      <c r="AL21" s="47"/>
      <c r="AM21" s="61"/>
      <c r="AN21" s="62" t="e">
        <f>ROUND((AL21*menu!#REF!+data!AM21*menu!#REF!)/100,0)</f>
        <v>#REF!</v>
      </c>
      <c r="AO21" s="47"/>
      <c r="AP21" s="61"/>
      <c r="AQ21" s="62" t="e">
        <f>ROUND((AO21*menu!#REF!+data!AP21*menu!#REF!)/100,0)</f>
        <v>#REF!</v>
      </c>
      <c r="AR21" s="47"/>
      <c r="AS21" s="61"/>
      <c r="AT21" s="62" t="e">
        <f>ROUND((AR21*menu!#REF!+data!AS21*menu!#REF!)/100,0)</f>
        <v>#REF!</v>
      </c>
      <c r="AU21" s="47"/>
      <c r="AV21" s="61"/>
      <c r="AW21" s="62" t="e">
        <f>ROUND((AU21*menu!#REF!+data!AV21*menu!#REF!)/100,0)</f>
        <v>#REF!</v>
      </c>
      <c r="AX21" s="47"/>
      <c r="AY21" s="61"/>
      <c r="AZ21" s="62" t="e">
        <f>ROUND((AX21*menu!#REF!+data!AY21*menu!#REF!)/100,0)</f>
        <v>#REF!</v>
      </c>
      <c r="BA21" s="47"/>
      <c r="BB21" s="61"/>
      <c r="BC21" s="62" t="e">
        <f>ROUND((BA21*menu!#REF!+data!BB21*menu!#REF!)/100,0)</f>
        <v>#REF!</v>
      </c>
      <c r="BD21" s="47"/>
      <c r="BE21" s="61"/>
      <c r="BF21" s="62" t="e">
        <f>ROUND((BD21*menu!#REF!+data!BE21*menu!#REF!)/100,0)</f>
        <v>#REF!</v>
      </c>
      <c r="BG21" s="57" t="str">
        <f>IFERROR("Ananda "&amp;PROPER(menu!B22)&amp;" kompeten dalam "&amp;data!DA21&amp;", namun perlu ditingkatkan dalam kompetensi "&amp;data!DD21,"")</f>
        <v/>
      </c>
      <c r="BH21" s="41" t="s">
        <v>73</v>
      </c>
      <c r="BI21" s="41" t="s">
        <v>73</v>
      </c>
      <c r="BJ21" s="41" t="s">
        <v>73</v>
      </c>
      <c r="BK21" s="41" t="s">
        <v>73</v>
      </c>
      <c r="BL21" s="58" t="s">
        <v>73</v>
      </c>
      <c r="BM21" s="58"/>
      <c r="BN21" s="59" t="s">
        <v>73</v>
      </c>
      <c r="BO21" s="59"/>
      <c r="BP21" s="58" t="s">
        <v>73</v>
      </c>
      <c r="BQ21" s="58"/>
      <c r="BR21" s="47" t="s">
        <v>73</v>
      </c>
      <c r="BS21" s="48" t="s">
        <v>73</v>
      </c>
      <c r="BT21" s="47" t="s">
        <v>73</v>
      </c>
      <c r="BU21" s="48"/>
      <c r="BV21" s="47"/>
      <c r="BW21" s="48"/>
      <c r="BX21" s="47"/>
      <c r="BY21" s="48"/>
      <c r="BZ21" s="58"/>
      <c r="CA21" s="58"/>
      <c r="CB21" s="41"/>
      <c r="CC21" s="41"/>
      <c r="CD21" s="58"/>
      <c r="CE21" s="58"/>
      <c r="CF21" s="60" t="str">
        <f t="shared" si="0"/>
        <v xml:space="preserve">Ananda Fitra Dany Herlambang menunjukkan perkembangan karakter yang  pada pembelajaran semester ini.   </v>
      </c>
      <c r="CG21" s="17" t="s">
        <v>10</v>
      </c>
      <c r="CH21" s="17"/>
      <c r="CI21" s="17"/>
      <c r="CJ21" s="4"/>
      <c r="CK21" s="8" t="str">
        <f t="shared" si="1"/>
        <v/>
      </c>
      <c r="CL21" s="18" t="str">
        <f>"Ananda "&amp;PROPER(menu!B22)&amp;" menunjukkan perkembangan karakter yang "&amp;CK21&amp;" pada pembelajaran semester ini."</f>
        <v>Ananda Fitra Dany Herlambang menunjukkan perkembangan karakter yang  pada pembelajaran semester ini.</v>
      </c>
      <c r="CM21" s="18" t="str">
        <f t="shared" si="2"/>
        <v/>
      </c>
      <c r="CN21" s="18" t="str">
        <f t="shared" si="3"/>
        <v/>
      </c>
      <c r="CO21" s="18" t="str">
        <f t="shared" si="4"/>
        <v/>
      </c>
      <c r="CP21" s="17"/>
      <c r="CQ21" s="19" t="str">
        <f t="shared" si="5"/>
        <v/>
      </c>
      <c r="CR21" s="20" t="str">
        <f t="shared" si="6"/>
        <v/>
      </c>
      <c r="CS21" s="19" t="str">
        <f t="shared" si="7"/>
        <v/>
      </c>
      <c r="CT21" s="20" t="str">
        <f t="shared" si="8"/>
        <v/>
      </c>
      <c r="CU21" s="21" t="str">
        <f t="shared" si="9"/>
        <v/>
      </c>
      <c r="CV21" s="20" t="str">
        <f t="shared" si="10"/>
        <v/>
      </c>
      <c r="CW21" s="19" t="str">
        <f t="shared" si="11"/>
        <v/>
      </c>
      <c r="CX21" s="20" t="str">
        <f t="shared" si="12"/>
        <v/>
      </c>
      <c r="CY21" s="22">
        <f t="shared" si="13"/>
        <v>0</v>
      </c>
      <c r="CZ21" s="22" t="e">
        <f t="shared" si="14"/>
        <v>#N/A</v>
      </c>
      <c r="DA21" s="8" t="e">
        <f t="shared" si="15"/>
        <v>#N/A</v>
      </c>
      <c r="DB21" s="7">
        <f t="shared" si="16"/>
        <v>0</v>
      </c>
      <c r="DC21" s="22" t="e">
        <f t="shared" si="17"/>
        <v>#N/A</v>
      </c>
      <c r="DD21" s="23" t="e">
        <f t="shared" si="18"/>
        <v>#N/A</v>
      </c>
      <c r="DF21" s="3">
        <v>15</v>
      </c>
      <c r="DG21" s="5" t="e">
        <f t="shared" ref="DG21:DN21" si="31">DG20</f>
        <v>#REF!</v>
      </c>
      <c r="DH21" s="5" t="e">
        <f t="shared" si="31"/>
        <v>#REF!</v>
      </c>
      <c r="DI21" s="5" t="e">
        <f t="shared" si="31"/>
        <v>#REF!</v>
      </c>
      <c r="DJ21" s="5" t="e">
        <f t="shared" si="31"/>
        <v>#REF!</v>
      </c>
      <c r="DK21" s="5" t="e">
        <f t="shared" si="31"/>
        <v>#REF!</v>
      </c>
      <c r="DL21" s="5" t="e">
        <f t="shared" si="31"/>
        <v>#REF!</v>
      </c>
      <c r="DM21" s="5" t="e">
        <f t="shared" si="31"/>
        <v>#REF!</v>
      </c>
      <c r="DN21" s="5" t="e">
        <f t="shared" si="31"/>
        <v>#REF!</v>
      </c>
      <c r="DO21" s="17"/>
    </row>
    <row r="22" spans="8:119" ht="15.75" customHeight="1" x14ac:dyDescent="0.25">
      <c r="H22" s="47"/>
      <c r="I22" s="61"/>
      <c r="J22" s="62" t="e">
        <f>ROUND((H22*menu!#REF!+data!I22*menu!#REF!)/100,0)</f>
        <v>#REF!</v>
      </c>
      <c r="K22" s="47"/>
      <c r="L22" s="61"/>
      <c r="M22" s="62" t="e">
        <f>ROUND((K22*menu!#REF!+data!L22*menu!#REF!)/100,0)</f>
        <v>#REF!</v>
      </c>
      <c r="N22" s="47"/>
      <c r="O22" s="61"/>
      <c r="P22" s="64" t="e">
        <f>ROUND((N22*menu!#REF!+data!O22*menu!#REF!)/100,0)</f>
        <v>#REF!</v>
      </c>
      <c r="Q22" s="47"/>
      <c r="R22" s="61"/>
      <c r="S22" s="62" t="e">
        <f>ROUND((Q22*menu!#REF!+data!R22*menu!#REF!)/100,0)</f>
        <v>#REF!</v>
      </c>
      <c r="T22" s="47"/>
      <c r="U22" s="61"/>
      <c r="V22" s="62" t="e">
        <f>ROUND((T22*menu!#REF!+data!U22*menu!#REF!)/100,0)</f>
        <v>#REF!</v>
      </c>
      <c r="W22" s="47"/>
      <c r="X22" s="61"/>
      <c r="Y22" s="62" t="e">
        <f>ROUND((W22*menu!#REF!+data!X22*menu!#REF!)/100,0)</f>
        <v>#REF!</v>
      </c>
      <c r="Z22" s="47"/>
      <c r="AA22" s="61"/>
      <c r="AB22" s="62" t="e">
        <f>ROUND((Z22*menu!#REF!+data!AA22*menu!#REF!)/100,0)</f>
        <v>#REF!</v>
      </c>
      <c r="AC22" s="61"/>
      <c r="AD22" s="61"/>
      <c r="AE22" s="62" t="e">
        <f>ROUND((AC22*menu!#REF!+data!AD22*menu!#REF!)/100,0)</f>
        <v>#REF!</v>
      </c>
      <c r="AF22" s="47"/>
      <c r="AG22" s="61"/>
      <c r="AH22" s="62" t="e">
        <f>ROUND((AF22*menu!#REF!+data!AG22*menu!#REF!)/100,0)</f>
        <v>#REF!</v>
      </c>
      <c r="AI22" s="47"/>
      <c r="AJ22" s="61"/>
      <c r="AK22" s="62" t="e">
        <f>ROUND((AI22*menu!#REF!+data!AJ22*menu!#REF!)/100,0)</f>
        <v>#REF!</v>
      </c>
      <c r="AL22" s="47"/>
      <c r="AM22" s="61"/>
      <c r="AN22" s="62" t="e">
        <f>ROUND((AL22*menu!#REF!+data!AM22*menu!#REF!)/100,0)</f>
        <v>#REF!</v>
      </c>
      <c r="AO22" s="47"/>
      <c r="AP22" s="61"/>
      <c r="AQ22" s="62" t="e">
        <f>ROUND((AO22*menu!#REF!+data!AP22*menu!#REF!)/100,0)</f>
        <v>#REF!</v>
      </c>
      <c r="AR22" s="47"/>
      <c r="AS22" s="61"/>
      <c r="AT22" s="62" t="e">
        <f>ROUND((AR22*menu!#REF!+data!AS22*menu!#REF!)/100,0)</f>
        <v>#REF!</v>
      </c>
      <c r="AU22" s="47"/>
      <c r="AV22" s="61"/>
      <c r="AW22" s="62" t="e">
        <f>ROUND((AU22*menu!#REF!+data!AV22*menu!#REF!)/100,0)</f>
        <v>#REF!</v>
      </c>
      <c r="AX22" s="47"/>
      <c r="AY22" s="61"/>
      <c r="AZ22" s="62" t="e">
        <f>ROUND((AX22*menu!#REF!+data!AY22*menu!#REF!)/100,0)</f>
        <v>#REF!</v>
      </c>
      <c r="BA22" s="47"/>
      <c r="BB22" s="61"/>
      <c r="BC22" s="62" t="e">
        <f>ROUND((BA22*menu!#REF!+data!BB22*menu!#REF!)/100,0)</f>
        <v>#REF!</v>
      </c>
      <c r="BD22" s="47"/>
      <c r="BE22" s="61"/>
      <c r="BF22" s="62" t="e">
        <f>ROUND((BD22*menu!#REF!+data!BE22*menu!#REF!)/100,0)</f>
        <v>#REF!</v>
      </c>
      <c r="BG22" s="57" t="str">
        <f>IFERROR("Ananda "&amp;PROPER(menu!B23)&amp;" kompeten dalam "&amp;data!DA22&amp;", namun perlu ditingkatkan dalam kompetensi "&amp;data!DD22,"")</f>
        <v/>
      </c>
      <c r="BH22" s="41" t="s">
        <v>73</v>
      </c>
      <c r="BI22" s="41" t="s">
        <v>73</v>
      </c>
      <c r="BJ22" s="41" t="s">
        <v>73</v>
      </c>
      <c r="BK22" s="41" t="s">
        <v>73</v>
      </c>
      <c r="BL22" s="58" t="s">
        <v>73</v>
      </c>
      <c r="BM22" s="58"/>
      <c r="BN22" s="59" t="s">
        <v>73</v>
      </c>
      <c r="BO22" s="59"/>
      <c r="BP22" s="58" t="s">
        <v>73</v>
      </c>
      <c r="BQ22" s="58"/>
      <c r="BR22" s="47" t="s">
        <v>73</v>
      </c>
      <c r="BS22" s="48" t="s">
        <v>73</v>
      </c>
      <c r="BT22" s="47" t="s">
        <v>73</v>
      </c>
      <c r="BU22" s="48"/>
      <c r="BV22" s="47"/>
      <c r="BW22" s="48"/>
      <c r="BX22" s="47"/>
      <c r="BY22" s="48"/>
      <c r="BZ22" s="58"/>
      <c r="CA22" s="58"/>
      <c r="CB22" s="41"/>
      <c r="CC22" s="41"/>
      <c r="CD22" s="58"/>
      <c r="CE22" s="58"/>
      <c r="CF22" s="60" t="str">
        <f t="shared" si="0"/>
        <v xml:space="preserve">Ananda Frighyta Listhira Antoino menunjukkan perkembangan karakter yang  pada pembelajaran semester ini.   </v>
      </c>
      <c r="CG22" s="17" t="s">
        <v>10</v>
      </c>
      <c r="CH22" s="17"/>
      <c r="CI22" s="17"/>
      <c r="CJ22" s="4"/>
      <c r="CK22" s="8" t="str">
        <f t="shared" si="1"/>
        <v/>
      </c>
      <c r="CL22" s="18" t="str">
        <f>"Ananda "&amp;PROPER(menu!B23)&amp;" menunjukkan perkembangan karakter yang "&amp;CK22&amp;" pada pembelajaran semester ini."</f>
        <v>Ananda Frighyta Listhira Antoino menunjukkan perkembangan karakter yang  pada pembelajaran semester ini.</v>
      </c>
      <c r="CM22" s="18" t="str">
        <f t="shared" si="2"/>
        <v/>
      </c>
      <c r="CN22" s="18" t="str">
        <f t="shared" si="3"/>
        <v/>
      </c>
      <c r="CO22" s="18" t="str">
        <f t="shared" si="4"/>
        <v/>
      </c>
      <c r="CP22" s="17"/>
      <c r="CQ22" s="19" t="str">
        <f t="shared" si="5"/>
        <v/>
      </c>
      <c r="CR22" s="20" t="str">
        <f t="shared" si="6"/>
        <v/>
      </c>
      <c r="CS22" s="19" t="str">
        <f t="shared" si="7"/>
        <v/>
      </c>
      <c r="CT22" s="20" t="str">
        <f t="shared" si="8"/>
        <v/>
      </c>
      <c r="CU22" s="21" t="str">
        <f t="shared" si="9"/>
        <v/>
      </c>
      <c r="CV22" s="20" t="str">
        <f t="shared" si="10"/>
        <v/>
      </c>
      <c r="CW22" s="19" t="str">
        <f t="shared" si="11"/>
        <v/>
      </c>
      <c r="CX22" s="20" t="str">
        <f t="shared" si="12"/>
        <v/>
      </c>
      <c r="CY22" s="22">
        <f t="shared" si="13"/>
        <v>0</v>
      </c>
      <c r="CZ22" s="22" t="e">
        <f t="shared" si="14"/>
        <v>#N/A</v>
      </c>
      <c r="DA22" s="8" t="e">
        <f t="shared" si="15"/>
        <v>#N/A</v>
      </c>
      <c r="DB22" s="7">
        <f t="shared" si="16"/>
        <v>0</v>
      </c>
      <c r="DC22" s="22" t="e">
        <f t="shared" si="17"/>
        <v>#N/A</v>
      </c>
      <c r="DD22" s="23" t="e">
        <f t="shared" si="18"/>
        <v>#N/A</v>
      </c>
      <c r="DF22" s="3">
        <v>16</v>
      </c>
      <c r="DG22" s="5" t="e">
        <f t="shared" ref="DG22:DN22" si="32">DG21</f>
        <v>#REF!</v>
      </c>
      <c r="DH22" s="5" t="e">
        <f t="shared" si="32"/>
        <v>#REF!</v>
      </c>
      <c r="DI22" s="5" t="e">
        <f t="shared" si="32"/>
        <v>#REF!</v>
      </c>
      <c r="DJ22" s="5" t="e">
        <f t="shared" si="32"/>
        <v>#REF!</v>
      </c>
      <c r="DK22" s="5" t="e">
        <f t="shared" si="32"/>
        <v>#REF!</v>
      </c>
      <c r="DL22" s="5" t="e">
        <f t="shared" si="32"/>
        <v>#REF!</v>
      </c>
      <c r="DM22" s="5" t="e">
        <f t="shared" si="32"/>
        <v>#REF!</v>
      </c>
      <c r="DN22" s="5" t="e">
        <f t="shared" si="32"/>
        <v>#REF!</v>
      </c>
      <c r="DO22" s="17"/>
    </row>
    <row r="23" spans="8:119" ht="15.75" customHeight="1" x14ac:dyDescent="0.25">
      <c r="H23" s="47"/>
      <c r="I23" s="61"/>
      <c r="J23" s="62" t="e">
        <f>ROUND((H23*menu!#REF!+data!I23*menu!#REF!)/100,0)</f>
        <v>#REF!</v>
      </c>
      <c r="K23" s="47"/>
      <c r="L23" s="61"/>
      <c r="M23" s="62" t="e">
        <f>ROUND((K23*menu!#REF!+data!L23*menu!#REF!)/100,0)</f>
        <v>#REF!</v>
      </c>
      <c r="N23" s="47"/>
      <c r="O23" s="61"/>
      <c r="P23" s="64" t="e">
        <f>ROUND((N23*menu!#REF!+data!O23*menu!#REF!)/100,0)</f>
        <v>#REF!</v>
      </c>
      <c r="Q23" s="47"/>
      <c r="R23" s="61"/>
      <c r="S23" s="62" t="e">
        <f>ROUND((Q23*menu!#REF!+data!R23*menu!#REF!)/100,0)</f>
        <v>#REF!</v>
      </c>
      <c r="T23" s="47"/>
      <c r="U23" s="61"/>
      <c r="V23" s="62" t="e">
        <f>ROUND((T23*menu!#REF!+data!U23*menu!#REF!)/100,0)</f>
        <v>#REF!</v>
      </c>
      <c r="W23" s="47"/>
      <c r="X23" s="61"/>
      <c r="Y23" s="62" t="e">
        <f>ROUND((W23*menu!#REF!+data!X23*menu!#REF!)/100,0)</f>
        <v>#REF!</v>
      </c>
      <c r="Z23" s="47"/>
      <c r="AA23" s="61"/>
      <c r="AB23" s="62" t="e">
        <f>ROUND((Z23*menu!#REF!+data!AA23*menu!#REF!)/100,0)</f>
        <v>#REF!</v>
      </c>
      <c r="AC23" s="61"/>
      <c r="AD23" s="61"/>
      <c r="AE23" s="62" t="e">
        <f>ROUND((AC23*menu!#REF!+data!AD23*menu!#REF!)/100,0)</f>
        <v>#REF!</v>
      </c>
      <c r="AF23" s="47"/>
      <c r="AG23" s="61"/>
      <c r="AH23" s="62" t="e">
        <f>ROUND((AF23*menu!#REF!+data!AG23*menu!#REF!)/100,0)</f>
        <v>#REF!</v>
      </c>
      <c r="AI23" s="47"/>
      <c r="AJ23" s="61"/>
      <c r="AK23" s="62" t="e">
        <f>ROUND((AI23*menu!#REF!+data!AJ23*menu!#REF!)/100,0)</f>
        <v>#REF!</v>
      </c>
      <c r="AL23" s="47"/>
      <c r="AM23" s="61"/>
      <c r="AN23" s="62" t="e">
        <f>ROUND((AL23*menu!#REF!+data!AM23*menu!#REF!)/100,0)</f>
        <v>#REF!</v>
      </c>
      <c r="AO23" s="47"/>
      <c r="AP23" s="61"/>
      <c r="AQ23" s="62" t="e">
        <f>ROUND((AO23*menu!#REF!+data!AP23*menu!#REF!)/100,0)</f>
        <v>#REF!</v>
      </c>
      <c r="AR23" s="47"/>
      <c r="AS23" s="61"/>
      <c r="AT23" s="62" t="e">
        <f>ROUND((AR23*menu!#REF!+data!AS23*menu!#REF!)/100,0)</f>
        <v>#REF!</v>
      </c>
      <c r="AU23" s="47"/>
      <c r="AV23" s="61"/>
      <c r="AW23" s="62" t="e">
        <f>ROUND((AU23*menu!#REF!+data!AV23*menu!#REF!)/100,0)</f>
        <v>#REF!</v>
      </c>
      <c r="AX23" s="47"/>
      <c r="AY23" s="61"/>
      <c r="AZ23" s="62" t="e">
        <f>ROUND((AX23*menu!#REF!+data!AY23*menu!#REF!)/100,0)</f>
        <v>#REF!</v>
      </c>
      <c r="BA23" s="47"/>
      <c r="BB23" s="61"/>
      <c r="BC23" s="62" t="e">
        <f>ROUND((BA23*menu!#REF!+data!BB23*menu!#REF!)/100,0)</f>
        <v>#REF!</v>
      </c>
      <c r="BD23" s="47"/>
      <c r="BE23" s="61"/>
      <c r="BF23" s="62" t="e">
        <f>ROUND((BD23*menu!#REF!+data!BE23*menu!#REF!)/100,0)</f>
        <v>#REF!</v>
      </c>
      <c r="BG23" s="57" t="str">
        <f>IFERROR("Ananda "&amp;PROPER(menu!B24)&amp;" kompeten dalam "&amp;data!DA23&amp;", namun perlu ditingkatkan dalam kompetensi "&amp;data!DD23,"")</f>
        <v/>
      </c>
      <c r="BH23" s="41" t="s">
        <v>73</v>
      </c>
      <c r="BI23" s="41" t="s">
        <v>73</v>
      </c>
      <c r="BJ23" s="41" t="s">
        <v>73</v>
      </c>
      <c r="BK23" s="41" t="s">
        <v>73</v>
      </c>
      <c r="BL23" s="58" t="s">
        <v>73</v>
      </c>
      <c r="BM23" s="58"/>
      <c r="BN23" s="59" t="s">
        <v>73</v>
      </c>
      <c r="BO23" s="59"/>
      <c r="BP23" s="58" t="s">
        <v>73</v>
      </c>
      <c r="BQ23" s="58"/>
      <c r="BR23" s="47" t="s">
        <v>73</v>
      </c>
      <c r="BS23" s="48" t="s">
        <v>73</v>
      </c>
      <c r="BT23" s="47" t="s">
        <v>73</v>
      </c>
      <c r="BU23" s="48"/>
      <c r="BV23" s="47"/>
      <c r="BW23" s="48"/>
      <c r="BX23" s="47"/>
      <c r="BY23" s="48"/>
      <c r="BZ23" s="58"/>
      <c r="CA23" s="58"/>
      <c r="CB23" s="41"/>
      <c r="CC23" s="41"/>
      <c r="CD23" s="58"/>
      <c r="CE23" s="58"/>
      <c r="CF23" s="60" t="str">
        <f t="shared" si="0"/>
        <v xml:space="preserve">Ananda Giska Yelin Grasella menunjukkan perkembangan karakter yang  pada pembelajaran semester ini.   </v>
      </c>
      <c r="CG23" s="17" t="s">
        <v>10</v>
      </c>
      <c r="CH23" s="17"/>
      <c r="CI23" s="17"/>
      <c r="CJ23" s="4"/>
      <c r="CK23" s="8" t="str">
        <f t="shared" si="1"/>
        <v/>
      </c>
      <c r="CL23" s="18" t="str">
        <f>"Ananda "&amp;PROPER(menu!B24)&amp;" menunjukkan perkembangan karakter yang "&amp;CK23&amp;" pada pembelajaran semester ini."</f>
        <v>Ananda Giska Yelin Grasella menunjukkan perkembangan karakter yang  pada pembelajaran semester ini.</v>
      </c>
      <c r="CM23" s="18" t="str">
        <f t="shared" si="2"/>
        <v/>
      </c>
      <c r="CN23" s="18" t="str">
        <f t="shared" si="3"/>
        <v/>
      </c>
      <c r="CO23" s="18" t="str">
        <f t="shared" si="4"/>
        <v/>
      </c>
      <c r="CP23" s="17"/>
      <c r="CQ23" s="19" t="str">
        <f t="shared" si="5"/>
        <v/>
      </c>
      <c r="CR23" s="20" t="str">
        <f t="shared" si="6"/>
        <v/>
      </c>
      <c r="CS23" s="19" t="str">
        <f t="shared" si="7"/>
        <v/>
      </c>
      <c r="CT23" s="20" t="str">
        <f t="shared" si="8"/>
        <v/>
      </c>
      <c r="CU23" s="21" t="str">
        <f t="shared" si="9"/>
        <v/>
      </c>
      <c r="CV23" s="20" t="str">
        <f t="shared" si="10"/>
        <v/>
      </c>
      <c r="CW23" s="19" t="str">
        <f t="shared" si="11"/>
        <v/>
      </c>
      <c r="CX23" s="20" t="str">
        <f t="shared" si="12"/>
        <v/>
      </c>
      <c r="CY23" s="22">
        <f t="shared" si="13"/>
        <v>0</v>
      </c>
      <c r="CZ23" s="22" t="e">
        <f t="shared" si="14"/>
        <v>#N/A</v>
      </c>
      <c r="DA23" s="8" t="e">
        <f t="shared" si="15"/>
        <v>#N/A</v>
      </c>
      <c r="DB23" s="7">
        <f t="shared" si="16"/>
        <v>0</v>
      </c>
      <c r="DC23" s="22" t="e">
        <f t="shared" si="17"/>
        <v>#N/A</v>
      </c>
      <c r="DD23" s="23" t="e">
        <f t="shared" si="18"/>
        <v>#N/A</v>
      </c>
      <c r="DF23" s="3">
        <v>17</v>
      </c>
      <c r="DG23" s="5" t="e">
        <f t="shared" ref="DG23:DN23" si="33">DG22</f>
        <v>#REF!</v>
      </c>
      <c r="DH23" s="5" t="e">
        <f t="shared" si="33"/>
        <v>#REF!</v>
      </c>
      <c r="DI23" s="5" t="e">
        <f t="shared" si="33"/>
        <v>#REF!</v>
      </c>
      <c r="DJ23" s="5" t="e">
        <f t="shared" si="33"/>
        <v>#REF!</v>
      </c>
      <c r="DK23" s="5" t="e">
        <f t="shared" si="33"/>
        <v>#REF!</v>
      </c>
      <c r="DL23" s="5" t="e">
        <f t="shared" si="33"/>
        <v>#REF!</v>
      </c>
      <c r="DM23" s="5" t="e">
        <f t="shared" si="33"/>
        <v>#REF!</v>
      </c>
      <c r="DN23" s="5" t="e">
        <f t="shared" si="33"/>
        <v>#REF!</v>
      </c>
      <c r="DO23" s="17"/>
    </row>
    <row r="24" spans="8:119" ht="15.75" customHeight="1" x14ac:dyDescent="0.25">
      <c r="H24" s="47"/>
      <c r="I24" s="61"/>
      <c r="J24" s="62" t="e">
        <f>ROUND((H24*menu!#REF!+data!I24*menu!#REF!)/100,0)</f>
        <v>#REF!</v>
      </c>
      <c r="K24" s="47"/>
      <c r="L24" s="61"/>
      <c r="M24" s="62" t="e">
        <f>ROUND((K24*menu!#REF!+data!L24*menu!#REF!)/100,0)</f>
        <v>#REF!</v>
      </c>
      <c r="N24" s="47"/>
      <c r="O24" s="61"/>
      <c r="P24" s="64" t="e">
        <f>ROUND((N24*menu!#REF!+data!O24*menu!#REF!)/100,0)</f>
        <v>#REF!</v>
      </c>
      <c r="Q24" s="47"/>
      <c r="R24" s="61"/>
      <c r="S24" s="62" t="e">
        <f>ROUND((Q24*menu!#REF!+data!R24*menu!#REF!)/100,0)</f>
        <v>#REF!</v>
      </c>
      <c r="T24" s="47"/>
      <c r="U24" s="61"/>
      <c r="V24" s="62" t="e">
        <f>ROUND((T24*menu!#REF!+data!U24*menu!#REF!)/100,0)</f>
        <v>#REF!</v>
      </c>
      <c r="W24" s="47"/>
      <c r="X24" s="61"/>
      <c r="Y24" s="62" t="e">
        <f>ROUND((W24*menu!#REF!+data!X24*menu!#REF!)/100,0)</f>
        <v>#REF!</v>
      </c>
      <c r="Z24" s="47"/>
      <c r="AA24" s="61"/>
      <c r="AB24" s="62" t="e">
        <f>ROUND((Z24*menu!#REF!+data!AA24*menu!#REF!)/100,0)</f>
        <v>#REF!</v>
      </c>
      <c r="AC24" s="61"/>
      <c r="AD24" s="61"/>
      <c r="AE24" s="62" t="e">
        <f>ROUND((AC24*menu!#REF!+data!AD24*menu!#REF!)/100,0)</f>
        <v>#REF!</v>
      </c>
      <c r="AF24" s="47"/>
      <c r="AG24" s="61"/>
      <c r="AH24" s="62" t="e">
        <f>ROUND((AF24*menu!#REF!+data!AG24*menu!#REF!)/100,0)</f>
        <v>#REF!</v>
      </c>
      <c r="AI24" s="47"/>
      <c r="AJ24" s="61"/>
      <c r="AK24" s="62" t="e">
        <f>ROUND((AI24*menu!#REF!+data!AJ24*menu!#REF!)/100,0)</f>
        <v>#REF!</v>
      </c>
      <c r="AL24" s="47"/>
      <c r="AM24" s="61"/>
      <c r="AN24" s="62" t="e">
        <f>ROUND((AL24*menu!#REF!+data!AM24*menu!#REF!)/100,0)</f>
        <v>#REF!</v>
      </c>
      <c r="AO24" s="47"/>
      <c r="AP24" s="61"/>
      <c r="AQ24" s="62" t="e">
        <f>ROUND((AO24*menu!#REF!+data!AP24*menu!#REF!)/100,0)</f>
        <v>#REF!</v>
      </c>
      <c r="AR24" s="47"/>
      <c r="AS24" s="61"/>
      <c r="AT24" s="62" t="e">
        <f>ROUND((AR24*menu!#REF!+data!AS24*menu!#REF!)/100,0)</f>
        <v>#REF!</v>
      </c>
      <c r="AU24" s="47"/>
      <c r="AV24" s="61"/>
      <c r="AW24" s="62" t="e">
        <f>ROUND((AU24*menu!#REF!+data!AV24*menu!#REF!)/100,0)</f>
        <v>#REF!</v>
      </c>
      <c r="AX24" s="47"/>
      <c r="AY24" s="61"/>
      <c r="AZ24" s="62" t="e">
        <f>ROUND((AX24*menu!#REF!+data!AY24*menu!#REF!)/100,0)</f>
        <v>#REF!</v>
      </c>
      <c r="BA24" s="47"/>
      <c r="BB24" s="61"/>
      <c r="BC24" s="62" t="e">
        <f>ROUND((BA24*menu!#REF!+data!BB24*menu!#REF!)/100,0)</f>
        <v>#REF!</v>
      </c>
      <c r="BD24" s="47"/>
      <c r="BE24" s="61"/>
      <c r="BF24" s="62" t="e">
        <f>ROUND((BD24*menu!#REF!+data!BE24*menu!#REF!)/100,0)</f>
        <v>#REF!</v>
      </c>
      <c r="BG24" s="57" t="str">
        <f>IFERROR("Ananda "&amp;PROPER(menu!B25)&amp;" kompeten dalam "&amp;data!DA24&amp;", namun perlu ditingkatkan dalam kompetensi "&amp;data!DD24,"")</f>
        <v/>
      </c>
      <c r="BH24" s="41" t="s">
        <v>73</v>
      </c>
      <c r="BI24" s="41" t="s">
        <v>73</v>
      </c>
      <c r="BJ24" s="41" t="s">
        <v>73</v>
      </c>
      <c r="BK24" s="41" t="s">
        <v>73</v>
      </c>
      <c r="BL24" s="58" t="s">
        <v>73</v>
      </c>
      <c r="BM24" s="58"/>
      <c r="BN24" s="59" t="s">
        <v>73</v>
      </c>
      <c r="BO24" s="59"/>
      <c r="BP24" s="58" t="s">
        <v>73</v>
      </c>
      <c r="BQ24" s="58"/>
      <c r="BR24" s="47" t="s">
        <v>73</v>
      </c>
      <c r="BS24" s="48" t="s">
        <v>73</v>
      </c>
      <c r="BT24" s="47" t="s">
        <v>73</v>
      </c>
      <c r="BU24" s="48"/>
      <c r="BV24" s="47"/>
      <c r="BW24" s="48"/>
      <c r="BX24" s="47"/>
      <c r="BY24" s="48"/>
      <c r="BZ24" s="58"/>
      <c r="CA24" s="58"/>
      <c r="CB24" s="41"/>
      <c r="CC24" s="41"/>
      <c r="CD24" s="58"/>
      <c r="CE24" s="58"/>
      <c r="CF24" s="60" t="str">
        <f t="shared" si="0"/>
        <v xml:space="preserve">Ananda Hana Pratiwi menunjukkan perkembangan karakter yang  pada pembelajaran semester ini.   </v>
      </c>
      <c r="CG24" s="17" t="s">
        <v>10</v>
      </c>
      <c r="CH24" s="17"/>
      <c r="CI24" s="17"/>
      <c r="CJ24" s="4"/>
      <c r="CK24" s="8" t="str">
        <f t="shared" si="1"/>
        <v/>
      </c>
      <c r="CL24" s="18" t="str">
        <f>"Ananda "&amp;PROPER(menu!B25)&amp;" menunjukkan perkembangan karakter yang "&amp;CK24&amp;" pada pembelajaran semester ini."</f>
        <v>Ananda Hana Pratiwi menunjukkan perkembangan karakter yang  pada pembelajaran semester ini.</v>
      </c>
      <c r="CM24" s="18" t="str">
        <f t="shared" si="2"/>
        <v/>
      </c>
      <c r="CN24" s="18" t="str">
        <f t="shared" si="3"/>
        <v/>
      </c>
      <c r="CO24" s="18" t="str">
        <f t="shared" si="4"/>
        <v/>
      </c>
      <c r="CP24" s="17"/>
      <c r="CQ24" s="19" t="str">
        <f t="shared" si="5"/>
        <v/>
      </c>
      <c r="CR24" s="20" t="str">
        <f t="shared" si="6"/>
        <v/>
      </c>
      <c r="CS24" s="19" t="str">
        <f t="shared" si="7"/>
        <v/>
      </c>
      <c r="CT24" s="20" t="str">
        <f t="shared" si="8"/>
        <v/>
      </c>
      <c r="CU24" s="21" t="str">
        <f t="shared" si="9"/>
        <v/>
      </c>
      <c r="CV24" s="20" t="str">
        <f t="shared" si="10"/>
        <v/>
      </c>
      <c r="CW24" s="19" t="str">
        <f t="shared" si="11"/>
        <v/>
      </c>
      <c r="CX24" s="20" t="str">
        <f t="shared" si="12"/>
        <v/>
      </c>
      <c r="CY24" s="22">
        <f t="shared" si="13"/>
        <v>0</v>
      </c>
      <c r="CZ24" s="22" t="e">
        <f t="shared" si="14"/>
        <v>#N/A</v>
      </c>
      <c r="DA24" s="8" t="e">
        <f t="shared" si="15"/>
        <v>#N/A</v>
      </c>
      <c r="DB24" s="7">
        <f t="shared" si="16"/>
        <v>0</v>
      </c>
      <c r="DC24" s="22" t="e">
        <f t="shared" si="17"/>
        <v>#N/A</v>
      </c>
      <c r="DD24" s="23" t="e">
        <f t="shared" si="18"/>
        <v>#N/A</v>
      </c>
      <c r="DF24" s="3">
        <v>18</v>
      </c>
      <c r="DG24" s="5" t="e">
        <f t="shared" ref="DG24:DN24" si="34">DG23</f>
        <v>#REF!</v>
      </c>
      <c r="DH24" s="5" t="e">
        <f t="shared" si="34"/>
        <v>#REF!</v>
      </c>
      <c r="DI24" s="5" t="e">
        <f t="shared" si="34"/>
        <v>#REF!</v>
      </c>
      <c r="DJ24" s="5" t="e">
        <f t="shared" si="34"/>
        <v>#REF!</v>
      </c>
      <c r="DK24" s="5" t="e">
        <f t="shared" si="34"/>
        <v>#REF!</v>
      </c>
      <c r="DL24" s="5" t="e">
        <f t="shared" si="34"/>
        <v>#REF!</v>
      </c>
      <c r="DM24" s="5" t="e">
        <f t="shared" si="34"/>
        <v>#REF!</v>
      </c>
      <c r="DN24" s="5" t="e">
        <f t="shared" si="34"/>
        <v>#REF!</v>
      </c>
      <c r="DO24" s="17"/>
    </row>
    <row r="25" spans="8:119" ht="15.75" customHeight="1" x14ac:dyDescent="0.25">
      <c r="H25" s="47"/>
      <c r="I25" s="61"/>
      <c r="J25" s="62" t="e">
        <f>ROUND((H25*menu!#REF!+data!I25*menu!#REF!)/100,0)</f>
        <v>#REF!</v>
      </c>
      <c r="K25" s="47"/>
      <c r="L25" s="61"/>
      <c r="M25" s="62" t="e">
        <f>ROUND((K25*menu!#REF!+data!L25*menu!#REF!)/100,0)</f>
        <v>#REF!</v>
      </c>
      <c r="N25" s="47"/>
      <c r="O25" s="61"/>
      <c r="P25" s="64" t="e">
        <f>ROUND((N25*menu!#REF!+data!O25*menu!#REF!)/100,0)</f>
        <v>#REF!</v>
      </c>
      <c r="Q25" s="47"/>
      <c r="R25" s="61"/>
      <c r="S25" s="62" t="e">
        <f>ROUND((Q25*menu!#REF!+data!R25*menu!#REF!)/100,0)</f>
        <v>#REF!</v>
      </c>
      <c r="T25" s="47"/>
      <c r="U25" s="61"/>
      <c r="V25" s="62" t="e">
        <f>ROUND((T25*menu!#REF!+data!U25*menu!#REF!)/100,0)</f>
        <v>#REF!</v>
      </c>
      <c r="W25" s="47"/>
      <c r="X25" s="61"/>
      <c r="Y25" s="62" t="e">
        <f>ROUND((W25*menu!#REF!+data!X25*menu!#REF!)/100,0)</f>
        <v>#REF!</v>
      </c>
      <c r="Z25" s="47"/>
      <c r="AA25" s="61"/>
      <c r="AB25" s="62" t="e">
        <f>ROUND((Z25*menu!#REF!+data!AA25*menu!#REF!)/100,0)</f>
        <v>#REF!</v>
      </c>
      <c r="AC25" s="61"/>
      <c r="AD25" s="61"/>
      <c r="AE25" s="62" t="e">
        <f>ROUND((AC25*menu!#REF!+data!AD25*menu!#REF!)/100,0)</f>
        <v>#REF!</v>
      </c>
      <c r="AF25" s="47"/>
      <c r="AG25" s="61"/>
      <c r="AH25" s="62" t="e">
        <f>ROUND((AF25*menu!#REF!+data!AG25*menu!#REF!)/100,0)</f>
        <v>#REF!</v>
      </c>
      <c r="AI25" s="47"/>
      <c r="AJ25" s="61"/>
      <c r="AK25" s="62" t="e">
        <f>ROUND((AI25*menu!#REF!+data!AJ25*menu!#REF!)/100,0)</f>
        <v>#REF!</v>
      </c>
      <c r="AL25" s="47"/>
      <c r="AM25" s="61"/>
      <c r="AN25" s="62" t="e">
        <f>ROUND((AL25*menu!#REF!+data!AM25*menu!#REF!)/100,0)</f>
        <v>#REF!</v>
      </c>
      <c r="AO25" s="47"/>
      <c r="AP25" s="61"/>
      <c r="AQ25" s="62" t="e">
        <f>ROUND((AO25*menu!#REF!+data!AP25*menu!#REF!)/100,0)</f>
        <v>#REF!</v>
      </c>
      <c r="AR25" s="47"/>
      <c r="AS25" s="61"/>
      <c r="AT25" s="62" t="e">
        <f>ROUND((AR25*menu!#REF!+data!AS25*menu!#REF!)/100,0)</f>
        <v>#REF!</v>
      </c>
      <c r="AU25" s="47"/>
      <c r="AV25" s="61"/>
      <c r="AW25" s="62" t="e">
        <f>ROUND((AU25*menu!#REF!+data!AV25*menu!#REF!)/100,0)</f>
        <v>#REF!</v>
      </c>
      <c r="AX25" s="47"/>
      <c r="AY25" s="61"/>
      <c r="AZ25" s="62" t="e">
        <f>ROUND((AX25*menu!#REF!+data!AY25*menu!#REF!)/100,0)</f>
        <v>#REF!</v>
      </c>
      <c r="BA25" s="47"/>
      <c r="BB25" s="61"/>
      <c r="BC25" s="62" t="e">
        <f>ROUND((BA25*menu!#REF!+data!BB25*menu!#REF!)/100,0)</f>
        <v>#REF!</v>
      </c>
      <c r="BD25" s="47"/>
      <c r="BE25" s="61"/>
      <c r="BF25" s="62" t="e">
        <f>ROUND((BD25*menu!#REF!+data!BE25*menu!#REF!)/100,0)</f>
        <v>#REF!</v>
      </c>
      <c r="BG25" s="57" t="str">
        <f>IFERROR("Ananda "&amp;PROPER(menu!B26)&amp;" kompeten dalam "&amp;data!DA25&amp;", namun perlu ditingkatkan dalam kompetensi "&amp;data!DD25,"")</f>
        <v/>
      </c>
      <c r="BH25" s="41" t="s">
        <v>73</v>
      </c>
      <c r="BI25" s="41" t="s">
        <v>73</v>
      </c>
      <c r="BJ25" s="41" t="s">
        <v>73</v>
      </c>
      <c r="BK25" s="41" t="s">
        <v>73</v>
      </c>
      <c r="BL25" s="58" t="s">
        <v>73</v>
      </c>
      <c r="BM25" s="58"/>
      <c r="BN25" s="59" t="s">
        <v>73</v>
      </c>
      <c r="BO25" s="59"/>
      <c r="BP25" s="58" t="s">
        <v>73</v>
      </c>
      <c r="BQ25" s="58"/>
      <c r="BR25" s="47" t="s">
        <v>73</v>
      </c>
      <c r="BS25" s="48" t="s">
        <v>73</v>
      </c>
      <c r="BT25" s="47" t="s">
        <v>73</v>
      </c>
      <c r="BU25" s="48"/>
      <c r="BV25" s="47"/>
      <c r="BW25" s="48"/>
      <c r="BX25" s="47"/>
      <c r="BY25" s="48"/>
      <c r="BZ25" s="58"/>
      <c r="CA25" s="58"/>
      <c r="CB25" s="41"/>
      <c r="CC25" s="41"/>
      <c r="CD25" s="58"/>
      <c r="CE25" s="58"/>
      <c r="CF25" s="60" t="str">
        <f t="shared" si="0"/>
        <v xml:space="preserve">Ananda Ilham Yusa Mahendra menunjukkan perkembangan karakter yang  pada pembelajaran semester ini.   </v>
      </c>
      <c r="CG25" s="17" t="s">
        <v>10</v>
      </c>
      <c r="CH25" s="17"/>
      <c r="CI25" s="17"/>
      <c r="CJ25" s="4"/>
      <c r="CK25" s="8" t="str">
        <f t="shared" si="1"/>
        <v/>
      </c>
      <c r="CL25" s="18" t="str">
        <f>"Ananda "&amp;PROPER(menu!B26)&amp;" menunjukkan perkembangan karakter yang "&amp;CK25&amp;" pada pembelajaran semester ini."</f>
        <v>Ananda Ilham Yusa Mahendra menunjukkan perkembangan karakter yang  pada pembelajaran semester ini.</v>
      </c>
      <c r="CM25" s="18" t="str">
        <f t="shared" si="2"/>
        <v/>
      </c>
      <c r="CN25" s="18" t="str">
        <f t="shared" si="3"/>
        <v/>
      </c>
      <c r="CO25" s="18" t="str">
        <f t="shared" si="4"/>
        <v/>
      </c>
      <c r="CP25" s="17"/>
      <c r="CQ25" s="19" t="str">
        <f t="shared" si="5"/>
        <v/>
      </c>
      <c r="CR25" s="20" t="str">
        <f t="shared" si="6"/>
        <v/>
      </c>
      <c r="CS25" s="19" t="str">
        <f t="shared" si="7"/>
        <v/>
      </c>
      <c r="CT25" s="20" t="str">
        <f t="shared" si="8"/>
        <v/>
      </c>
      <c r="CU25" s="21" t="str">
        <f t="shared" si="9"/>
        <v/>
      </c>
      <c r="CV25" s="20" t="str">
        <f t="shared" si="10"/>
        <v/>
      </c>
      <c r="CW25" s="19" t="str">
        <f t="shared" si="11"/>
        <v/>
      </c>
      <c r="CX25" s="20" t="str">
        <f t="shared" si="12"/>
        <v/>
      </c>
      <c r="CY25" s="22">
        <f t="shared" si="13"/>
        <v>0</v>
      </c>
      <c r="CZ25" s="22" t="e">
        <f t="shared" si="14"/>
        <v>#N/A</v>
      </c>
      <c r="DA25" s="8" t="e">
        <f t="shared" si="15"/>
        <v>#N/A</v>
      </c>
      <c r="DB25" s="7">
        <f t="shared" si="16"/>
        <v>0</v>
      </c>
      <c r="DC25" s="22" t="e">
        <f t="shared" si="17"/>
        <v>#N/A</v>
      </c>
      <c r="DD25" s="23" t="e">
        <f t="shared" si="18"/>
        <v>#N/A</v>
      </c>
      <c r="DF25" s="3">
        <v>19</v>
      </c>
      <c r="DG25" s="5" t="e">
        <f t="shared" ref="DG25:DN25" si="35">DG24</f>
        <v>#REF!</v>
      </c>
      <c r="DH25" s="5" t="e">
        <f t="shared" si="35"/>
        <v>#REF!</v>
      </c>
      <c r="DI25" s="5" t="e">
        <f t="shared" si="35"/>
        <v>#REF!</v>
      </c>
      <c r="DJ25" s="5" t="e">
        <f t="shared" si="35"/>
        <v>#REF!</v>
      </c>
      <c r="DK25" s="5" t="e">
        <f t="shared" si="35"/>
        <v>#REF!</v>
      </c>
      <c r="DL25" s="5" t="e">
        <f t="shared" si="35"/>
        <v>#REF!</v>
      </c>
      <c r="DM25" s="5" t="e">
        <f t="shared" si="35"/>
        <v>#REF!</v>
      </c>
      <c r="DN25" s="5" t="e">
        <f t="shared" si="35"/>
        <v>#REF!</v>
      </c>
      <c r="DO25" s="17"/>
    </row>
    <row r="26" spans="8:119" ht="15.75" customHeight="1" x14ac:dyDescent="0.25">
      <c r="H26" s="47"/>
      <c r="I26" s="61"/>
      <c r="J26" s="62" t="e">
        <f>ROUND((H26*menu!#REF!+data!I26*menu!#REF!)/100,0)</f>
        <v>#REF!</v>
      </c>
      <c r="K26" s="47"/>
      <c r="L26" s="61"/>
      <c r="M26" s="62" t="e">
        <f>ROUND((K26*menu!#REF!+data!L26*menu!#REF!)/100,0)</f>
        <v>#REF!</v>
      </c>
      <c r="N26" s="47"/>
      <c r="O26" s="61"/>
      <c r="P26" s="64" t="e">
        <f>ROUND((N26*menu!#REF!+data!O26*menu!#REF!)/100,0)</f>
        <v>#REF!</v>
      </c>
      <c r="Q26" s="47"/>
      <c r="R26" s="61"/>
      <c r="S26" s="62" t="e">
        <f>ROUND((Q26*menu!#REF!+data!R26*menu!#REF!)/100,0)</f>
        <v>#REF!</v>
      </c>
      <c r="T26" s="47"/>
      <c r="U26" s="61"/>
      <c r="V26" s="62" t="e">
        <f>ROUND((T26*menu!#REF!+data!U26*menu!#REF!)/100,0)</f>
        <v>#REF!</v>
      </c>
      <c r="W26" s="47"/>
      <c r="X26" s="61"/>
      <c r="Y26" s="62" t="e">
        <f>ROUND((W26*menu!#REF!+data!X26*menu!#REF!)/100,0)</f>
        <v>#REF!</v>
      </c>
      <c r="Z26" s="47"/>
      <c r="AA26" s="61"/>
      <c r="AB26" s="62" t="e">
        <f>ROUND((Z26*menu!#REF!+data!AA26*menu!#REF!)/100,0)</f>
        <v>#REF!</v>
      </c>
      <c r="AC26" s="61"/>
      <c r="AD26" s="61"/>
      <c r="AE26" s="62" t="e">
        <f>ROUND((AC26*menu!#REF!+data!AD26*menu!#REF!)/100,0)</f>
        <v>#REF!</v>
      </c>
      <c r="AF26" s="47"/>
      <c r="AG26" s="61"/>
      <c r="AH26" s="62" t="e">
        <f>ROUND((AF26*menu!#REF!+data!AG26*menu!#REF!)/100,0)</f>
        <v>#REF!</v>
      </c>
      <c r="AI26" s="47"/>
      <c r="AJ26" s="61"/>
      <c r="AK26" s="62" t="e">
        <f>ROUND((AI26*menu!#REF!+data!AJ26*menu!#REF!)/100,0)</f>
        <v>#REF!</v>
      </c>
      <c r="AL26" s="47"/>
      <c r="AM26" s="61"/>
      <c r="AN26" s="62" t="e">
        <f>ROUND((AL26*menu!#REF!+data!AM26*menu!#REF!)/100,0)</f>
        <v>#REF!</v>
      </c>
      <c r="AO26" s="47"/>
      <c r="AP26" s="61"/>
      <c r="AQ26" s="62" t="e">
        <f>ROUND((AO26*menu!#REF!+data!AP26*menu!#REF!)/100,0)</f>
        <v>#REF!</v>
      </c>
      <c r="AR26" s="47"/>
      <c r="AS26" s="61"/>
      <c r="AT26" s="62" t="e">
        <f>ROUND((AR26*menu!#REF!+data!AS26*menu!#REF!)/100,0)</f>
        <v>#REF!</v>
      </c>
      <c r="AU26" s="47"/>
      <c r="AV26" s="61"/>
      <c r="AW26" s="62" t="e">
        <f>ROUND((AU26*menu!#REF!+data!AV26*menu!#REF!)/100,0)</f>
        <v>#REF!</v>
      </c>
      <c r="AX26" s="47"/>
      <c r="AY26" s="61"/>
      <c r="AZ26" s="62" t="e">
        <f>ROUND((AX26*menu!#REF!+data!AY26*menu!#REF!)/100,0)</f>
        <v>#REF!</v>
      </c>
      <c r="BA26" s="47"/>
      <c r="BB26" s="61"/>
      <c r="BC26" s="62" t="e">
        <f>ROUND((BA26*menu!#REF!+data!BB26*menu!#REF!)/100,0)</f>
        <v>#REF!</v>
      </c>
      <c r="BD26" s="47"/>
      <c r="BE26" s="61"/>
      <c r="BF26" s="62" t="e">
        <f>ROUND((BD26*menu!#REF!+data!BE26*menu!#REF!)/100,0)</f>
        <v>#REF!</v>
      </c>
      <c r="BG26" s="57" t="str">
        <f>IFERROR("Ananda "&amp;PROPER(menu!B27)&amp;" kompeten dalam "&amp;data!DA26&amp;", namun perlu ditingkatkan dalam kompetensi "&amp;data!DD26,"")</f>
        <v/>
      </c>
      <c r="BH26" s="41" t="s">
        <v>73</v>
      </c>
      <c r="BI26" s="41" t="s">
        <v>73</v>
      </c>
      <c r="BJ26" s="41" t="s">
        <v>73</v>
      </c>
      <c r="BK26" s="41" t="s">
        <v>73</v>
      </c>
      <c r="BL26" s="58" t="s">
        <v>73</v>
      </c>
      <c r="BM26" s="58"/>
      <c r="BN26" s="59" t="s">
        <v>73</v>
      </c>
      <c r="BO26" s="59"/>
      <c r="BP26" s="58" t="s">
        <v>73</v>
      </c>
      <c r="BQ26" s="58"/>
      <c r="BR26" s="47" t="s">
        <v>73</v>
      </c>
      <c r="BS26" s="48" t="s">
        <v>73</v>
      </c>
      <c r="BT26" s="47" t="s">
        <v>73</v>
      </c>
      <c r="BU26" s="48"/>
      <c r="BV26" s="47"/>
      <c r="BW26" s="48"/>
      <c r="BX26" s="47"/>
      <c r="BY26" s="48"/>
      <c r="BZ26" s="58"/>
      <c r="CA26" s="58"/>
      <c r="CB26" s="41"/>
      <c r="CC26" s="41"/>
      <c r="CD26" s="58"/>
      <c r="CE26" s="58"/>
      <c r="CF26" s="60" t="str">
        <f t="shared" si="0"/>
        <v xml:space="preserve">Ananda Inahya Warohmah menunjukkan perkembangan karakter yang  pada pembelajaran semester ini.   </v>
      </c>
      <c r="CG26" s="17" t="s">
        <v>10</v>
      </c>
      <c r="CH26" s="17"/>
      <c r="CI26" s="17"/>
      <c r="CJ26" s="4"/>
      <c r="CK26" s="8" t="str">
        <f t="shared" si="1"/>
        <v/>
      </c>
      <c r="CL26" s="18" t="str">
        <f>"Ananda "&amp;PROPER(menu!B27)&amp;" menunjukkan perkembangan karakter yang "&amp;CK26&amp;" pada pembelajaran semester ini."</f>
        <v>Ananda Inahya Warohmah menunjukkan perkembangan karakter yang  pada pembelajaran semester ini.</v>
      </c>
      <c r="CM26" s="18" t="str">
        <f t="shared" si="2"/>
        <v/>
      </c>
      <c r="CN26" s="18" t="str">
        <f t="shared" si="3"/>
        <v/>
      </c>
      <c r="CO26" s="18" t="str">
        <f t="shared" si="4"/>
        <v/>
      </c>
      <c r="CP26" s="17"/>
      <c r="CQ26" s="19" t="str">
        <f t="shared" si="5"/>
        <v/>
      </c>
      <c r="CR26" s="20" t="str">
        <f t="shared" si="6"/>
        <v/>
      </c>
      <c r="CS26" s="19" t="str">
        <f t="shared" si="7"/>
        <v/>
      </c>
      <c r="CT26" s="20" t="str">
        <f t="shared" si="8"/>
        <v/>
      </c>
      <c r="CU26" s="21" t="str">
        <f t="shared" si="9"/>
        <v/>
      </c>
      <c r="CV26" s="20" t="str">
        <f t="shared" si="10"/>
        <v/>
      </c>
      <c r="CW26" s="19" t="str">
        <f t="shared" si="11"/>
        <v/>
      </c>
      <c r="CX26" s="20" t="str">
        <f t="shared" si="12"/>
        <v/>
      </c>
      <c r="CY26" s="22">
        <f t="shared" si="13"/>
        <v>0</v>
      </c>
      <c r="CZ26" s="22" t="e">
        <f t="shared" si="14"/>
        <v>#N/A</v>
      </c>
      <c r="DA26" s="8" t="e">
        <f t="shared" si="15"/>
        <v>#N/A</v>
      </c>
      <c r="DB26" s="7">
        <f t="shared" si="16"/>
        <v>0</v>
      </c>
      <c r="DC26" s="22" t="e">
        <f t="shared" si="17"/>
        <v>#N/A</v>
      </c>
      <c r="DD26" s="23" t="e">
        <f t="shared" si="18"/>
        <v>#N/A</v>
      </c>
      <c r="DF26" s="3">
        <v>20</v>
      </c>
      <c r="DG26" s="5" t="e">
        <f t="shared" ref="DG26:DN26" si="36">DG25</f>
        <v>#REF!</v>
      </c>
      <c r="DH26" s="5" t="e">
        <f t="shared" si="36"/>
        <v>#REF!</v>
      </c>
      <c r="DI26" s="5" t="e">
        <f t="shared" si="36"/>
        <v>#REF!</v>
      </c>
      <c r="DJ26" s="5" t="e">
        <f t="shared" si="36"/>
        <v>#REF!</v>
      </c>
      <c r="DK26" s="5" t="e">
        <f t="shared" si="36"/>
        <v>#REF!</v>
      </c>
      <c r="DL26" s="5" t="e">
        <f t="shared" si="36"/>
        <v>#REF!</v>
      </c>
      <c r="DM26" s="5" t="e">
        <f t="shared" si="36"/>
        <v>#REF!</v>
      </c>
      <c r="DN26" s="5" t="e">
        <f t="shared" si="36"/>
        <v>#REF!</v>
      </c>
      <c r="DO26" s="17"/>
    </row>
    <row r="27" spans="8:119" ht="15.75" customHeight="1" x14ac:dyDescent="0.25">
      <c r="H27" s="47"/>
      <c r="I27" s="61"/>
      <c r="J27" s="62" t="e">
        <f>ROUND((H27*menu!#REF!+data!I27*menu!#REF!)/100,0)</f>
        <v>#REF!</v>
      </c>
      <c r="K27" s="47"/>
      <c r="L27" s="61"/>
      <c r="M27" s="62" t="e">
        <f>ROUND((K27*menu!#REF!+data!L27*menu!#REF!)/100,0)</f>
        <v>#REF!</v>
      </c>
      <c r="N27" s="47"/>
      <c r="O27" s="61"/>
      <c r="P27" s="64" t="e">
        <f>ROUND((N27*menu!#REF!+data!O27*menu!#REF!)/100,0)</f>
        <v>#REF!</v>
      </c>
      <c r="Q27" s="47"/>
      <c r="R27" s="61"/>
      <c r="S27" s="62" t="e">
        <f>ROUND((Q27*menu!#REF!+data!R27*menu!#REF!)/100,0)</f>
        <v>#REF!</v>
      </c>
      <c r="T27" s="47"/>
      <c r="U27" s="61"/>
      <c r="V27" s="62" t="e">
        <f>ROUND((T27*menu!#REF!+data!U27*menu!#REF!)/100,0)</f>
        <v>#REF!</v>
      </c>
      <c r="W27" s="47"/>
      <c r="X27" s="61"/>
      <c r="Y27" s="62" t="e">
        <f>ROUND((W27*menu!#REF!+data!X27*menu!#REF!)/100,0)</f>
        <v>#REF!</v>
      </c>
      <c r="Z27" s="47"/>
      <c r="AA27" s="61"/>
      <c r="AB27" s="62" t="e">
        <f>ROUND((Z27*menu!#REF!+data!AA27*menu!#REF!)/100,0)</f>
        <v>#REF!</v>
      </c>
      <c r="AC27" s="61"/>
      <c r="AD27" s="61"/>
      <c r="AE27" s="62" t="e">
        <f>ROUND((AC27*menu!#REF!+data!AD27*menu!#REF!)/100,0)</f>
        <v>#REF!</v>
      </c>
      <c r="AF27" s="47"/>
      <c r="AG27" s="61"/>
      <c r="AH27" s="62" t="e">
        <f>ROUND((AF27*menu!#REF!+data!AG27*menu!#REF!)/100,0)</f>
        <v>#REF!</v>
      </c>
      <c r="AI27" s="47"/>
      <c r="AJ27" s="61"/>
      <c r="AK27" s="62" t="e">
        <f>ROUND((AI27*menu!#REF!+data!AJ27*menu!#REF!)/100,0)</f>
        <v>#REF!</v>
      </c>
      <c r="AL27" s="47"/>
      <c r="AM27" s="61"/>
      <c r="AN27" s="62" t="e">
        <f>ROUND((AL27*menu!#REF!+data!AM27*menu!#REF!)/100,0)</f>
        <v>#REF!</v>
      </c>
      <c r="AO27" s="47"/>
      <c r="AP27" s="61"/>
      <c r="AQ27" s="62" t="e">
        <f>ROUND((AO27*menu!#REF!+data!AP27*menu!#REF!)/100,0)</f>
        <v>#REF!</v>
      </c>
      <c r="AR27" s="47"/>
      <c r="AS27" s="61"/>
      <c r="AT27" s="62" t="e">
        <f>ROUND((AR27*menu!#REF!+data!AS27*menu!#REF!)/100,0)</f>
        <v>#REF!</v>
      </c>
      <c r="AU27" s="47"/>
      <c r="AV27" s="61"/>
      <c r="AW27" s="62" t="e">
        <f>ROUND((AU27*menu!#REF!+data!AV27*menu!#REF!)/100,0)</f>
        <v>#REF!</v>
      </c>
      <c r="AX27" s="47"/>
      <c r="AY27" s="61"/>
      <c r="AZ27" s="62" t="e">
        <f>ROUND((AX27*menu!#REF!+data!AY27*menu!#REF!)/100,0)</f>
        <v>#REF!</v>
      </c>
      <c r="BA27" s="47"/>
      <c r="BB27" s="61"/>
      <c r="BC27" s="62" t="e">
        <f>ROUND((BA27*menu!#REF!+data!BB27*menu!#REF!)/100,0)</f>
        <v>#REF!</v>
      </c>
      <c r="BD27" s="47"/>
      <c r="BE27" s="61"/>
      <c r="BF27" s="62" t="e">
        <f>ROUND((BD27*menu!#REF!+data!BE27*menu!#REF!)/100,0)</f>
        <v>#REF!</v>
      </c>
      <c r="BG27" s="57" t="str">
        <f>IFERROR("Ananda "&amp;PROPER(menu!B28)&amp;" kompeten dalam "&amp;data!DA27&amp;", namun perlu ditingkatkan dalam kompetensi "&amp;data!DD27,"")</f>
        <v/>
      </c>
      <c r="BH27" s="41" t="s">
        <v>73</v>
      </c>
      <c r="BI27" s="41" t="s">
        <v>73</v>
      </c>
      <c r="BJ27" s="41" t="s">
        <v>73</v>
      </c>
      <c r="BK27" s="41" t="s">
        <v>73</v>
      </c>
      <c r="BL27" s="58" t="s">
        <v>73</v>
      </c>
      <c r="BM27" s="58"/>
      <c r="BN27" s="59" t="s">
        <v>73</v>
      </c>
      <c r="BO27" s="59"/>
      <c r="BP27" s="58" t="s">
        <v>73</v>
      </c>
      <c r="BQ27" s="58"/>
      <c r="BR27" s="47" t="s">
        <v>73</v>
      </c>
      <c r="BS27" s="48" t="s">
        <v>73</v>
      </c>
      <c r="BT27" s="47" t="s">
        <v>73</v>
      </c>
      <c r="BU27" s="48"/>
      <c r="BV27" s="47"/>
      <c r="BW27" s="48"/>
      <c r="BX27" s="47"/>
      <c r="BY27" s="48"/>
      <c r="BZ27" s="58"/>
      <c r="CA27" s="58"/>
      <c r="CB27" s="41"/>
      <c r="CC27" s="41"/>
      <c r="CD27" s="58"/>
      <c r="CE27" s="58"/>
      <c r="CF27" s="60" t="str">
        <f t="shared" si="0"/>
        <v xml:space="preserve">Ananda Intan Puspitashari menunjukkan perkembangan karakter yang  pada pembelajaran semester ini.   </v>
      </c>
      <c r="CG27" s="17" t="s">
        <v>10</v>
      </c>
      <c r="CH27" s="17"/>
      <c r="CI27" s="17"/>
      <c r="CJ27" s="4"/>
      <c r="CK27" s="8" t="str">
        <f t="shared" si="1"/>
        <v/>
      </c>
      <c r="CL27" s="18" t="str">
        <f>"Ananda "&amp;PROPER(menu!B28)&amp;" menunjukkan perkembangan karakter yang "&amp;CK27&amp;" pada pembelajaran semester ini."</f>
        <v>Ananda Intan Puspitashari menunjukkan perkembangan karakter yang  pada pembelajaran semester ini.</v>
      </c>
      <c r="CM27" s="18" t="str">
        <f t="shared" si="2"/>
        <v/>
      </c>
      <c r="CN27" s="18" t="str">
        <f t="shared" si="3"/>
        <v/>
      </c>
      <c r="CO27" s="18" t="str">
        <f t="shared" si="4"/>
        <v/>
      </c>
      <c r="CP27" s="17"/>
      <c r="CQ27" s="19" t="str">
        <f t="shared" si="5"/>
        <v/>
      </c>
      <c r="CR27" s="20" t="str">
        <f t="shared" si="6"/>
        <v/>
      </c>
      <c r="CS27" s="19" t="str">
        <f t="shared" si="7"/>
        <v/>
      </c>
      <c r="CT27" s="20" t="str">
        <f t="shared" si="8"/>
        <v/>
      </c>
      <c r="CU27" s="21" t="str">
        <f t="shared" si="9"/>
        <v/>
      </c>
      <c r="CV27" s="20" t="str">
        <f t="shared" si="10"/>
        <v/>
      </c>
      <c r="CW27" s="19" t="str">
        <f t="shared" si="11"/>
        <v/>
      </c>
      <c r="CX27" s="20" t="str">
        <f t="shared" si="12"/>
        <v/>
      </c>
      <c r="CY27" s="22">
        <f t="shared" si="13"/>
        <v>0</v>
      </c>
      <c r="CZ27" s="22" t="e">
        <f t="shared" si="14"/>
        <v>#N/A</v>
      </c>
      <c r="DA27" s="8" t="e">
        <f t="shared" si="15"/>
        <v>#N/A</v>
      </c>
      <c r="DB27" s="7">
        <f t="shared" si="16"/>
        <v>0</v>
      </c>
      <c r="DC27" s="22" t="e">
        <f t="shared" si="17"/>
        <v>#N/A</v>
      </c>
      <c r="DD27" s="23" t="e">
        <f t="shared" si="18"/>
        <v>#N/A</v>
      </c>
      <c r="DF27" s="3">
        <v>21</v>
      </c>
      <c r="DG27" s="5" t="e">
        <f t="shared" ref="DG27:DN27" si="37">DG26</f>
        <v>#REF!</v>
      </c>
      <c r="DH27" s="5" t="e">
        <f t="shared" si="37"/>
        <v>#REF!</v>
      </c>
      <c r="DI27" s="5" t="e">
        <f t="shared" si="37"/>
        <v>#REF!</v>
      </c>
      <c r="DJ27" s="5" t="e">
        <f t="shared" si="37"/>
        <v>#REF!</v>
      </c>
      <c r="DK27" s="5" t="e">
        <f t="shared" si="37"/>
        <v>#REF!</v>
      </c>
      <c r="DL27" s="5" t="e">
        <f t="shared" si="37"/>
        <v>#REF!</v>
      </c>
      <c r="DM27" s="5" t="e">
        <f t="shared" si="37"/>
        <v>#REF!</v>
      </c>
      <c r="DN27" s="5" t="e">
        <f t="shared" si="37"/>
        <v>#REF!</v>
      </c>
      <c r="DO27" s="17"/>
    </row>
    <row r="28" spans="8:119" ht="15.75" customHeight="1" x14ac:dyDescent="0.25">
      <c r="H28" s="47"/>
      <c r="I28" s="61"/>
      <c r="J28" s="62" t="e">
        <f>ROUND((H28*menu!#REF!+data!I28*menu!#REF!)/100,0)</f>
        <v>#REF!</v>
      </c>
      <c r="K28" s="47"/>
      <c r="L28" s="61"/>
      <c r="M28" s="62" t="e">
        <f>ROUND((K28*menu!#REF!+data!L28*menu!#REF!)/100,0)</f>
        <v>#REF!</v>
      </c>
      <c r="N28" s="47"/>
      <c r="O28" s="61"/>
      <c r="P28" s="64" t="e">
        <f>ROUND((N28*menu!#REF!+data!O28*menu!#REF!)/100,0)</f>
        <v>#REF!</v>
      </c>
      <c r="Q28" s="47"/>
      <c r="R28" s="61"/>
      <c r="S28" s="62" t="e">
        <f>ROUND((Q28*menu!#REF!+data!R28*menu!#REF!)/100,0)</f>
        <v>#REF!</v>
      </c>
      <c r="T28" s="47"/>
      <c r="U28" s="61"/>
      <c r="V28" s="62" t="e">
        <f>ROUND((T28*menu!#REF!+data!U28*menu!#REF!)/100,0)</f>
        <v>#REF!</v>
      </c>
      <c r="W28" s="47"/>
      <c r="X28" s="61"/>
      <c r="Y28" s="62" t="e">
        <f>ROUND((W28*menu!#REF!+data!X28*menu!#REF!)/100,0)</f>
        <v>#REF!</v>
      </c>
      <c r="Z28" s="47"/>
      <c r="AA28" s="61"/>
      <c r="AB28" s="62" t="e">
        <f>ROUND((Z28*menu!#REF!+data!AA28*menu!#REF!)/100,0)</f>
        <v>#REF!</v>
      </c>
      <c r="AC28" s="61"/>
      <c r="AD28" s="61"/>
      <c r="AE28" s="62" t="e">
        <f>ROUND((AC28*menu!#REF!+data!AD28*menu!#REF!)/100,0)</f>
        <v>#REF!</v>
      </c>
      <c r="AF28" s="47"/>
      <c r="AG28" s="61"/>
      <c r="AH28" s="62" t="e">
        <f>ROUND((AF28*menu!#REF!+data!AG28*menu!#REF!)/100,0)</f>
        <v>#REF!</v>
      </c>
      <c r="AI28" s="47"/>
      <c r="AJ28" s="61"/>
      <c r="AK28" s="62" t="e">
        <f>ROUND((AI28*menu!#REF!+data!AJ28*menu!#REF!)/100,0)</f>
        <v>#REF!</v>
      </c>
      <c r="AL28" s="47"/>
      <c r="AM28" s="61"/>
      <c r="AN28" s="62" t="e">
        <f>ROUND((AL28*menu!#REF!+data!AM28*menu!#REF!)/100,0)</f>
        <v>#REF!</v>
      </c>
      <c r="AO28" s="47"/>
      <c r="AP28" s="61"/>
      <c r="AQ28" s="62" t="e">
        <f>ROUND((AO28*menu!#REF!+data!AP28*menu!#REF!)/100,0)</f>
        <v>#REF!</v>
      </c>
      <c r="AR28" s="47"/>
      <c r="AS28" s="61"/>
      <c r="AT28" s="62" t="e">
        <f>ROUND((AR28*menu!#REF!+data!AS28*menu!#REF!)/100,0)</f>
        <v>#REF!</v>
      </c>
      <c r="AU28" s="47"/>
      <c r="AV28" s="61"/>
      <c r="AW28" s="62" t="e">
        <f>ROUND((AU28*menu!#REF!+data!AV28*menu!#REF!)/100,0)</f>
        <v>#REF!</v>
      </c>
      <c r="AX28" s="47"/>
      <c r="AY28" s="61"/>
      <c r="AZ28" s="62" t="e">
        <f>ROUND((AX28*menu!#REF!+data!AY28*menu!#REF!)/100,0)</f>
        <v>#REF!</v>
      </c>
      <c r="BA28" s="47"/>
      <c r="BB28" s="61"/>
      <c r="BC28" s="62" t="e">
        <f>ROUND((BA28*menu!#REF!+data!BB28*menu!#REF!)/100,0)</f>
        <v>#REF!</v>
      </c>
      <c r="BD28" s="47"/>
      <c r="BE28" s="61"/>
      <c r="BF28" s="62" t="e">
        <f>ROUND((BD28*menu!#REF!+data!BE28*menu!#REF!)/100,0)</f>
        <v>#REF!</v>
      </c>
      <c r="BG28" s="57" t="str">
        <f>IFERROR("Ananda "&amp;PROPER(menu!B29)&amp;" kompeten dalam "&amp;data!DA28&amp;", namun perlu ditingkatkan dalam kompetensi "&amp;data!DD28,"")</f>
        <v/>
      </c>
      <c r="BH28" s="41" t="s">
        <v>73</v>
      </c>
      <c r="BI28" s="41" t="s">
        <v>73</v>
      </c>
      <c r="BJ28" s="41" t="s">
        <v>73</v>
      </c>
      <c r="BK28" s="41" t="s">
        <v>73</v>
      </c>
      <c r="BL28" s="58" t="s">
        <v>73</v>
      </c>
      <c r="BM28" s="58"/>
      <c r="BN28" s="59" t="s">
        <v>73</v>
      </c>
      <c r="BO28" s="59"/>
      <c r="BP28" s="58" t="s">
        <v>73</v>
      </c>
      <c r="BQ28" s="58"/>
      <c r="BR28" s="47" t="s">
        <v>73</v>
      </c>
      <c r="BS28" s="48" t="s">
        <v>73</v>
      </c>
      <c r="BT28" s="47" t="s">
        <v>73</v>
      </c>
      <c r="BU28" s="48"/>
      <c r="BV28" s="47"/>
      <c r="BW28" s="48"/>
      <c r="BX28" s="47"/>
      <c r="BY28" s="48"/>
      <c r="BZ28" s="58"/>
      <c r="CA28" s="58"/>
      <c r="CB28" s="41"/>
      <c r="CC28" s="41"/>
      <c r="CD28" s="58"/>
      <c r="CE28" s="58"/>
      <c r="CF28" s="60" t="str">
        <f t="shared" si="0"/>
        <v xml:space="preserve">Ananda Jihan Pahera Alpia menunjukkan perkembangan karakter yang  pada pembelajaran semester ini.   </v>
      </c>
      <c r="CG28" s="17" t="s">
        <v>10</v>
      </c>
      <c r="CH28" s="17"/>
      <c r="CI28" s="17"/>
      <c r="CJ28" s="4"/>
      <c r="CK28" s="8" t="str">
        <f t="shared" si="1"/>
        <v/>
      </c>
      <c r="CL28" s="18" t="str">
        <f>"Ananda "&amp;PROPER(menu!B29)&amp;" menunjukkan perkembangan karakter yang "&amp;CK28&amp;" pada pembelajaran semester ini."</f>
        <v>Ananda Jihan Pahera Alpia menunjukkan perkembangan karakter yang  pada pembelajaran semester ini.</v>
      </c>
      <c r="CM28" s="18" t="str">
        <f t="shared" si="2"/>
        <v/>
      </c>
      <c r="CN28" s="18" t="str">
        <f t="shared" si="3"/>
        <v/>
      </c>
      <c r="CO28" s="18" t="str">
        <f t="shared" si="4"/>
        <v/>
      </c>
      <c r="CQ28" s="19" t="str">
        <f t="shared" si="5"/>
        <v/>
      </c>
      <c r="CR28" s="20" t="str">
        <f t="shared" si="6"/>
        <v/>
      </c>
      <c r="CS28" s="19" t="str">
        <f t="shared" si="7"/>
        <v/>
      </c>
      <c r="CT28" s="20" t="str">
        <f t="shared" si="8"/>
        <v/>
      </c>
      <c r="CU28" s="21" t="str">
        <f t="shared" si="9"/>
        <v/>
      </c>
      <c r="CV28" s="20" t="str">
        <f t="shared" si="10"/>
        <v/>
      </c>
      <c r="CW28" s="19" t="str">
        <f t="shared" si="11"/>
        <v/>
      </c>
      <c r="CX28" s="20" t="str">
        <f t="shared" si="12"/>
        <v/>
      </c>
      <c r="CY28" s="22">
        <f t="shared" si="13"/>
        <v>0</v>
      </c>
      <c r="CZ28" s="22" t="e">
        <f t="shared" si="14"/>
        <v>#N/A</v>
      </c>
      <c r="DA28" s="8" t="e">
        <f t="shared" si="15"/>
        <v>#N/A</v>
      </c>
      <c r="DB28" s="7">
        <f t="shared" si="16"/>
        <v>0</v>
      </c>
      <c r="DC28" s="22" t="e">
        <f t="shared" si="17"/>
        <v>#N/A</v>
      </c>
      <c r="DD28" s="23" t="e">
        <f t="shared" si="18"/>
        <v>#N/A</v>
      </c>
      <c r="DF28" s="3">
        <v>22</v>
      </c>
      <c r="DG28" s="5" t="e">
        <f t="shared" ref="DG28:DN28" si="38">DG27</f>
        <v>#REF!</v>
      </c>
      <c r="DH28" s="5" t="e">
        <f t="shared" si="38"/>
        <v>#REF!</v>
      </c>
      <c r="DI28" s="5" t="e">
        <f t="shared" si="38"/>
        <v>#REF!</v>
      </c>
      <c r="DJ28" s="5" t="e">
        <f t="shared" si="38"/>
        <v>#REF!</v>
      </c>
      <c r="DK28" s="5" t="e">
        <f t="shared" si="38"/>
        <v>#REF!</v>
      </c>
      <c r="DL28" s="5" t="e">
        <f t="shared" si="38"/>
        <v>#REF!</v>
      </c>
      <c r="DM28" s="5" t="e">
        <f t="shared" si="38"/>
        <v>#REF!</v>
      </c>
      <c r="DN28" s="5" t="e">
        <f t="shared" si="38"/>
        <v>#REF!</v>
      </c>
    </row>
    <row r="29" spans="8:119" ht="15.75" customHeight="1" x14ac:dyDescent="0.25">
      <c r="H29" s="47"/>
      <c r="I29" s="61"/>
      <c r="J29" s="62" t="e">
        <f>ROUND((H29*menu!#REF!+data!I29*menu!#REF!)/100,0)</f>
        <v>#REF!</v>
      </c>
      <c r="K29" s="47"/>
      <c r="L29" s="61"/>
      <c r="M29" s="62" t="e">
        <f>ROUND((K29*menu!#REF!+data!L29*menu!#REF!)/100,0)</f>
        <v>#REF!</v>
      </c>
      <c r="N29" s="47"/>
      <c r="O29" s="61"/>
      <c r="P29" s="64" t="e">
        <f>ROUND((N29*menu!#REF!+data!O29*menu!#REF!)/100,0)</f>
        <v>#REF!</v>
      </c>
      <c r="Q29" s="47"/>
      <c r="R29" s="61"/>
      <c r="S29" s="62" t="e">
        <f>ROUND((Q29*menu!#REF!+data!R29*menu!#REF!)/100,0)</f>
        <v>#REF!</v>
      </c>
      <c r="T29" s="47"/>
      <c r="U29" s="61"/>
      <c r="V29" s="62" t="e">
        <f>ROUND((T29*menu!#REF!+data!U29*menu!#REF!)/100,0)</f>
        <v>#REF!</v>
      </c>
      <c r="W29" s="47"/>
      <c r="X29" s="61"/>
      <c r="Y29" s="62" t="e">
        <f>ROUND((W29*menu!#REF!+data!X29*menu!#REF!)/100,0)</f>
        <v>#REF!</v>
      </c>
      <c r="Z29" s="47"/>
      <c r="AA29" s="61"/>
      <c r="AB29" s="62" t="e">
        <f>ROUND((Z29*menu!#REF!+data!AA29*menu!#REF!)/100,0)</f>
        <v>#REF!</v>
      </c>
      <c r="AC29" s="61"/>
      <c r="AD29" s="61"/>
      <c r="AE29" s="62" t="e">
        <f>ROUND((AC29*menu!#REF!+data!AD29*menu!#REF!)/100,0)</f>
        <v>#REF!</v>
      </c>
      <c r="AF29" s="47"/>
      <c r="AG29" s="61"/>
      <c r="AH29" s="62" t="e">
        <f>ROUND((AF29*menu!#REF!+data!AG29*menu!#REF!)/100,0)</f>
        <v>#REF!</v>
      </c>
      <c r="AI29" s="47"/>
      <c r="AJ29" s="61"/>
      <c r="AK29" s="62" t="e">
        <f>ROUND((AI29*menu!#REF!+data!AJ29*menu!#REF!)/100,0)</f>
        <v>#REF!</v>
      </c>
      <c r="AL29" s="47"/>
      <c r="AM29" s="61"/>
      <c r="AN29" s="62" t="e">
        <f>ROUND((AL29*menu!#REF!+data!AM29*menu!#REF!)/100,0)</f>
        <v>#REF!</v>
      </c>
      <c r="AO29" s="47"/>
      <c r="AP29" s="61"/>
      <c r="AQ29" s="62" t="e">
        <f>ROUND((AO29*menu!#REF!+data!AP29*menu!#REF!)/100,0)</f>
        <v>#REF!</v>
      </c>
      <c r="AR29" s="47"/>
      <c r="AS29" s="61"/>
      <c r="AT29" s="62" t="e">
        <f>ROUND((AR29*menu!#REF!+data!AS29*menu!#REF!)/100,0)</f>
        <v>#REF!</v>
      </c>
      <c r="AU29" s="47"/>
      <c r="AV29" s="61"/>
      <c r="AW29" s="62" t="e">
        <f>ROUND((AU29*menu!#REF!+data!AV29*menu!#REF!)/100,0)</f>
        <v>#REF!</v>
      </c>
      <c r="AX29" s="47"/>
      <c r="AY29" s="61"/>
      <c r="AZ29" s="62" t="e">
        <f>ROUND((AX29*menu!#REF!+data!AY29*menu!#REF!)/100,0)</f>
        <v>#REF!</v>
      </c>
      <c r="BA29" s="47"/>
      <c r="BB29" s="61"/>
      <c r="BC29" s="62" t="e">
        <f>ROUND((BA29*menu!#REF!+data!BB29*menu!#REF!)/100,0)</f>
        <v>#REF!</v>
      </c>
      <c r="BD29" s="47"/>
      <c r="BE29" s="61"/>
      <c r="BF29" s="62" t="e">
        <f>ROUND((BD29*menu!#REF!+data!BE29*menu!#REF!)/100,0)</f>
        <v>#REF!</v>
      </c>
      <c r="BG29" s="57" t="str">
        <f>IFERROR("Ananda "&amp;PROPER(menu!B30)&amp;" kompeten dalam "&amp;data!DA29&amp;", namun perlu ditingkatkan dalam kompetensi "&amp;data!DD29,"")</f>
        <v/>
      </c>
      <c r="BH29" s="41" t="s">
        <v>73</v>
      </c>
      <c r="BI29" s="41" t="s">
        <v>73</v>
      </c>
      <c r="BJ29" s="41" t="s">
        <v>73</v>
      </c>
      <c r="BK29" s="41" t="s">
        <v>73</v>
      </c>
      <c r="BL29" s="58" t="s">
        <v>73</v>
      </c>
      <c r="BM29" s="58"/>
      <c r="BN29" s="59" t="s">
        <v>73</v>
      </c>
      <c r="BO29" s="59"/>
      <c r="BP29" s="58" t="s">
        <v>73</v>
      </c>
      <c r="BQ29" s="58"/>
      <c r="BR29" s="47" t="s">
        <v>73</v>
      </c>
      <c r="BS29" s="48" t="s">
        <v>73</v>
      </c>
      <c r="BT29" s="47" t="s">
        <v>73</v>
      </c>
      <c r="BU29" s="48"/>
      <c r="BV29" s="47"/>
      <c r="BW29" s="48"/>
      <c r="BX29" s="47"/>
      <c r="BY29" s="48"/>
      <c r="BZ29" s="58"/>
      <c r="CA29" s="58"/>
      <c r="CB29" s="41"/>
      <c r="CC29" s="41"/>
      <c r="CD29" s="58"/>
      <c r="CE29" s="58"/>
      <c r="CF29" s="60" t="str">
        <f t="shared" si="0"/>
        <v xml:space="preserve">Ananda Khrismonika Ariyani menunjukkan perkembangan karakter yang  pada pembelajaran semester ini.   </v>
      </c>
      <c r="CG29" s="17" t="s">
        <v>10</v>
      </c>
      <c r="CH29" s="17"/>
      <c r="CI29" s="17"/>
      <c r="CK29" s="8" t="str">
        <f t="shared" si="1"/>
        <v/>
      </c>
      <c r="CL29" s="18" t="str">
        <f>"Ananda "&amp;PROPER(menu!B30)&amp;" menunjukkan perkembangan karakter yang "&amp;CK29&amp;" pada pembelajaran semester ini."</f>
        <v>Ananda Khrismonika Ariyani menunjukkan perkembangan karakter yang  pada pembelajaran semester ini.</v>
      </c>
      <c r="CM29" s="18" t="str">
        <f t="shared" si="2"/>
        <v/>
      </c>
      <c r="CN29" s="18" t="str">
        <f t="shared" si="3"/>
        <v/>
      </c>
      <c r="CO29" s="18" t="str">
        <f t="shared" si="4"/>
        <v/>
      </c>
      <c r="CQ29" s="19" t="str">
        <f t="shared" si="5"/>
        <v/>
      </c>
      <c r="CR29" s="20" t="str">
        <f t="shared" si="6"/>
        <v/>
      </c>
      <c r="CS29" s="19" t="str">
        <f t="shared" si="7"/>
        <v/>
      </c>
      <c r="CT29" s="20" t="str">
        <f t="shared" si="8"/>
        <v/>
      </c>
      <c r="CU29" s="21" t="str">
        <f t="shared" si="9"/>
        <v/>
      </c>
      <c r="CV29" s="20" t="str">
        <f t="shared" si="10"/>
        <v/>
      </c>
      <c r="CW29" s="19" t="str">
        <f t="shared" si="11"/>
        <v/>
      </c>
      <c r="CX29" s="20" t="str">
        <f t="shared" si="12"/>
        <v/>
      </c>
      <c r="CY29" s="22">
        <f t="shared" si="13"/>
        <v>0</v>
      </c>
      <c r="CZ29" s="22" t="e">
        <f t="shared" si="14"/>
        <v>#N/A</v>
      </c>
      <c r="DA29" s="8" t="e">
        <f t="shared" si="15"/>
        <v>#N/A</v>
      </c>
      <c r="DB29" s="7">
        <f t="shared" si="16"/>
        <v>0</v>
      </c>
      <c r="DC29" s="22" t="e">
        <f t="shared" si="17"/>
        <v>#N/A</v>
      </c>
      <c r="DD29" s="23" t="e">
        <f t="shared" si="18"/>
        <v>#N/A</v>
      </c>
      <c r="DF29" s="3">
        <v>23</v>
      </c>
      <c r="DG29" s="5" t="e">
        <f t="shared" ref="DG29:DN29" si="39">DG28</f>
        <v>#REF!</v>
      </c>
      <c r="DH29" s="5" t="e">
        <f t="shared" si="39"/>
        <v>#REF!</v>
      </c>
      <c r="DI29" s="5" t="e">
        <f t="shared" si="39"/>
        <v>#REF!</v>
      </c>
      <c r="DJ29" s="5" t="e">
        <f t="shared" si="39"/>
        <v>#REF!</v>
      </c>
      <c r="DK29" s="5" t="e">
        <f t="shared" si="39"/>
        <v>#REF!</v>
      </c>
      <c r="DL29" s="5" t="e">
        <f t="shared" si="39"/>
        <v>#REF!</v>
      </c>
      <c r="DM29" s="5" t="e">
        <f t="shared" si="39"/>
        <v>#REF!</v>
      </c>
      <c r="DN29" s="5" t="e">
        <f t="shared" si="39"/>
        <v>#REF!</v>
      </c>
    </row>
    <row r="30" spans="8:119" ht="15.75" customHeight="1" x14ac:dyDescent="0.25">
      <c r="H30" s="47"/>
      <c r="I30" s="61"/>
      <c r="J30" s="62" t="e">
        <f>ROUND((H30*menu!#REF!+data!I30*menu!#REF!)/100,0)</f>
        <v>#REF!</v>
      </c>
      <c r="K30" s="47"/>
      <c r="L30" s="61"/>
      <c r="M30" s="62" t="e">
        <f>ROUND((K30*menu!#REF!+data!L30*menu!#REF!)/100,0)</f>
        <v>#REF!</v>
      </c>
      <c r="N30" s="47"/>
      <c r="O30" s="61"/>
      <c r="P30" s="64" t="e">
        <f>ROUND((N30*menu!#REF!+data!O30*menu!#REF!)/100,0)</f>
        <v>#REF!</v>
      </c>
      <c r="Q30" s="47"/>
      <c r="R30" s="61"/>
      <c r="S30" s="62" t="e">
        <f>ROUND((Q30*menu!#REF!+data!R30*menu!#REF!)/100,0)</f>
        <v>#REF!</v>
      </c>
      <c r="T30" s="47"/>
      <c r="U30" s="61"/>
      <c r="V30" s="62" t="e">
        <f>ROUND((T30*menu!#REF!+data!U30*menu!#REF!)/100,0)</f>
        <v>#REF!</v>
      </c>
      <c r="W30" s="47"/>
      <c r="X30" s="61"/>
      <c r="Y30" s="62" t="e">
        <f>ROUND((W30*menu!#REF!+data!X30*menu!#REF!)/100,0)</f>
        <v>#REF!</v>
      </c>
      <c r="Z30" s="47"/>
      <c r="AA30" s="61"/>
      <c r="AB30" s="62" t="e">
        <f>ROUND((Z30*menu!#REF!+data!AA30*menu!#REF!)/100,0)</f>
        <v>#REF!</v>
      </c>
      <c r="AC30" s="61"/>
      <c r="AD30" s="61"/>
      <c r="AE30" s="62" t="e">
        <f>ROUND((AC30*menu!#REF!+data!AD30*menu!#REF!)/100,0)</f>
        <v>#REF!</v>
      </c>
      <c r="AF30" s="47"/>
      <c r="AG30" s="61"/>
      <c r="AH30" s="62" t="e">
        <f>ROUND((AF30*menu!#REF!+data!AG30*menu!#REF!)/100,0)</f>
        <v>#REF!</v>
      </c>
      <c r="AI30" s="47"/>
      <c r="AJ30" s="61"/>
      <c r="AK30" s="62" t="e">
        <f>ROUND((AI30*menu!#REF!+data!AJ30*menu!#REF!)/100,0)</f>
        <v>#REF!</v>
      </c>
      <c r="AL30" s="47"/>
      <c r="AM30" s="61"/>
      <c r="AN30" s="62" t="e">
        <f>ROUND((AL30*menu!#REF!+data!AM30*menu!#REF!)/100,0)</f>
        <v>#REF!</v>
      </c>
      <c r="AO30" s="47"/>
      <c r="AP30" s="61"/>
      <c r="AQ30" s="62" t="e">
        <f>ROUND((AO30*menu!#REF!+data!AP30*menu!#REF!)/100,0)</f>
        <v>#REF!</v>
      </c>
      <c r="AR30" s="47"/>
      <c r="AS30" s="61"/>
      <c r="AT30" s="62" t="e">
        <f>ROUND((AR30*menu!#REF!+data!AS30*menu!#REF!)/100,0)</f>
        <v>#REF!</v>
      </c>
      <c r="AU30" s="47"/>
      <c r="AV30" s="61"/>
      <c r="AW30" s="62" t="e">
        <f>ROUND((AU30*menu!#REF!+data!AV30*menu!#REF!)/100,0)</f>
        <v>#REF!</v>
      </c>
      <c r="AX30" s="47"/>
      <c r="AY30" s="61"/>
      <c r="AZ30" s="62" t="e">
        <f>ROUND((AX30*menu!#REF!+data!AY30*menu!#REF!)/100,0)</f>
        <v>#REF!</v>
      </c>
      <c r="BA30" s="47"/>
      <c r="BB30" s="61"/>
      <c r="BC30" s="62" t="e">
        <f>ROUND((BA30*menu!#REF!+data!BB30*menu!#REF!)/100,0)</f>
        <v>#REF!</v>
      </c>
      <c r="BD30" s="47"/>
      <c r="BE30" s="61"/>
      <c r="BF30" s="62" t="e">
        <f>ROUND((BD30*menu!#REF!+data!BE30*menu!#REF!)/100,0)</f>
        <v>#REF!</v>
      </c>
      <c r="BG30" s="57" t="str">
        <f>IFERROR("Ananda "&amp;PROPER(menu!B31)&amp;" kompeten dalam "&amp;data!DA30&amp;", namun perlu ditingkatkan dalam kompetensi "&amp;data!DD30,"")</f>
        <v/>
      </c>
      <c r="BH30" s="41" t="s">
        <v>73</v>
      </c>
      <c r="BI30" s="41" t="s">
        <v>73</v>
      </c>
      <c r="BJ30" s="41" t="s">
        <v>73</v>
      </c>
      <c r="BK30" s="41" t="s">
        <v>73</v>
      </c>
      <c r="BL30" s="58" t="s">
        <v>73</v>
      </c>
      <c r="BM30" s="58"/>
      <c r="BN30" s="59" t="s">
        <v>73</v>
      </c>
      <c r="BO30" s="59"/>
      <c r="BP30" s="58" t="s">
        <v>73</v>
      </c>
      <c r="BQ30" s="58"/>
      <c r="BR30" s="47" t="s">
        <v>73</v>
      </c>
      <c r="BS30" s="48" t="s">
        <v>73</v>
      </c>
      <c r="BT30" s="47" t="s">
        <v>73</v>
      </c>
      <c r="BU30" s="48"/>
      <c r="BV30" s="47"/>
      <c r="BW30" s="48"/>
      <c r="BX30" s="47"/>
      <c r="BY30" s="48"/>
      <c r="BZ30" s="58"/>
      <c r="CA30" s="58"/>
      <c r="CB30" s="41"/>
      <c r="CC30" s="41"/>
      <c r="CD30" s="58"/>
      <c r="CE30" s="58"/>
      <c r="CF30" s="60" t="str">
        <f t="shared" si="0"/>
        <v xml:space="preserve">Ananda Mila Rosita Dewi menunjukkan perkembangan karakter yang  pada pembelajaran semester ini.   </v>
      </c>
      <c r="CG30" s="17" t="s">
        <v>10</v>
      </c>
      <c r="CH30" s="17"/>
      <c r="CI30" s="17"/>
      <c r="CK30" s="8" t="str">
        <f t="shared" si="1"/>
        <v/>
      </c>
      <c r="CL30" s="18" t="str">
        <f>"Ananda "&amp;PROPER(menu!B31)&amp;" menunjukkan perkembangan karakter yang "&amp;CK30&amp;" pada pembelajaran semester ini."</f>
        <v>Ananda Mila Rosita Dewi menunjukkan perkembangan karakter yang  pada pembelajaran semester ini.</v>
      </c>
      <c r="CM30" s="18" t="str">
        <f t="shared" si="2"/>
        <v/>
      </c>
      <c r="CN30" s="18" t="str">
        <f t="shared" si="3"/>
        <v/>
      </c>
      <c r="CO30" s="18" t="str">
        <f t="shared" si="4"/>
        <v/>
      </c>
      <c r="CQ30" s="19" t="str">
        <f t="shared" si="5"/>
        <v/>
      </c>
      <c r="CR30" s="20" t="str">
        <f t="shared" si="6"/>
        <v/>
      </c>
      <c r="CS30" s="19" t="str">
        <f t="shared" si="7"/>
        <v/>
      </c>
      <c r="CT30" s="20" t="str">
        <f t="shared" si="8"/>
        <v/>
      </c>
      <c r="CU30" s="21" t="str">
        <f t="shared" si="9"/>
        <v/>
      </c>
      <c r="CV30" s="20" t="str">
        <f t="shared" si="10"/>
        <v/>
      </c>
      <c r="CW30" s="19" t="str">
        <f t="shared" si="11"/>
        <v/>
      </c>
      <c r="CX30" s="20" t="str">
        <f t="shared" si="12"/>
        <v/>
      </c>
      <c r="CY30" s="22">
        <f t="shared" si="13"/>
        <v>0</v>
      </c>
      <c r="CZ30" s="22" t="e">
        <f t="shared" si="14"/>
        <v>#N/A</v>
      </c>
      <c r="DA30" s="8" t="e">
        <f t="shared" si="15"/>
        <v>#N/A</v>
      </c>
      <c r="DB30" s="7">
        <f t="shared" si="16"/>
        <v>0</v>
      </c>
      <c r="DC30" s="22" t="e">
        <f t="shared" si="17"/>
        <v>#N/A</v>
      </c>
      <c r="DD30" s="23" t="e">
        <f t="shared" si="18"/>
        <v>#N/A</v>
      </c>
      <c r="DF30" s="3">
        <v>24</v>
      </c>
      <c r="DG30" s="5" t="e">
        <f t="shared" ref="DG30:DN30" si="40">DG29</f>
        <v>#REF!</v>
      </c>
      <c r="DH30" s="5" t="e">
        <f t="shared" si="40"/>
        <v>#REF!</v>
      </c>
      <c r="DI30" s="5" t="e">
        <f t="shared" si="40"/>
        <v>#REF!</v>
      </c>
      <c r="DJ30" s="5" t="e">
        <f t="shared" si="40"/>
        <v>#REF!</v>
      </c>
      <c r="DK30" s="5" t="e">
        <f t="shared" si="40"/>
        <v>#REF!</v>
      </c>
      <c r="DL30" s="5" t="e">
        <f t="shared" si="40"/>
        <v>#REF!</v>
      </c>
      <c r="DM30" s="5" t="e">
        <f t="shared" si="40"/>
        <v>#REF!</v>
      </c>
      <c r="DN30" s="5" t="e">
        <f t="shared" si="40"/>
        <v>#REF!</v>
      </c>
    </row>
    <row r="31" spans="8:119" ht="15.75" customHeight="1" x14ac:dyDescent="0.25">
      <c r="H31" s="47"/>
      <c r="I31" s="61"/>
      <c r="J31" s="62" t="e">
        <f>ROUND((H31*menu!#REF!+data!I31*menu!#REF!)/100,0)</f>
        <v>#REF!</v>
      </c>
      <c r="K31" s="47"/>
      <c r="L31" s="61"/>
      <c r="M31" s="62" t="e">
        <f>ROUND((K31*menu!#REF!+data!L31*menu!#REF!)/100,0)</f>
        <v>#REF!</v>
      </c>
      <c r="N31" s="47"/>
      <c r="O31" s="61"/>
      <c r="P31" s="64" t="e">
        <f>ROUND((N31*menu!#REF!+data!O31*menu!#REF!)/100,0)</f>
        <v>#REF!</v>
      </c>
      <c r="Q31" s="47"/>
      <c r="R31" s="61"/>
      <c r="S31" s="62" t="e">
        <f>ROUND((Q31*menu!#REF!+data!R31*menu!#REF!)/100,0)</f>
        <v>#REF!</v>
      </c>
      <c r="T31" s="47"/>
      <c r="U31" s="61"/>
      <c r="V31" s="62" t="e">
        <f>ROUND((T31*menu!#REF!+data!U31*menu!#REF!)/100,0)</f>
        <v>#REF!</v>
      </c>
      <c r="W31" s="47"/>
      <c r="X31" s="61"/>
      <c r="Y31" s="62" t="e">
        <f>ROUND((W31*menu!#REF!+data!X31*menu!#REF!)/100,0)</f>
        <v>#REF!</v>
      </c>
      <c r="Z31" s="47"/>
      <c r="AA31" s="61"/>
      <c r="AB31" s="62" t="e">
        <f>ROUND((Z31*menu!#REF!+data!AA31*menu!#REF!)/100,0)</f>
        <v>#REF!</v>
      </c>
      <c r="AC31" s="61"/>
      <c r="AD31" s="61"/>
      <c r="AE31" s="62" t="e">
        <f>ROUND((AC31*menu!#REF!+data!AD31*menu!#REF!)/100,0)</f>
        <v>#REF!</v>
      </c>
      <c r="AF31" s="47"/>
      <c r="AG31" s="61"/>
      <c r="AH31" s="62" t="e">
        <f>ROUND((AF31*menu!#REF!+data!AG31*menu!#REF!)/100,0)</f>
        <v>#REF!</v>
      </c>
      <c r="AI31" s="47"/>
      <c r="AJ31" s="61"/>
      <c r="AK31" s="62" t="e">
        <f>ROUND((AI31*menu!#REF!+data!AJ31*menu!#REF!)/100,0)</f>
        <v>#REF!</v>
      </c>
      <c r="AL31" s="47"/>
      <c r="AM31" s="61"/>
      <c r="AN31" s="62" t="e">
        <f>ROUND((AL31*menu!#REF!+data!AM31*menu!#REF!)/100,0)</f>
        <v>#REF!</v>
      </c>
      <c r="AO31" s="47"/>
      <c r="AP31" s="61"/>
      <c r="AQ31" s="62" t="e">
        <f>ROUND((AO31*menu!#REF!+data!AP31*menu!#REF!)/100,0)</f>
        <v>#REF!</v>
      </c>
      <c r="AR31" s="47"/>
      <c r="AS31" s="61"/>
      <c r="AT31" s="62" t="e">
        <f>ROUND((AR31*menu!#REF!+data!AS31*menu!#REF!)/100,0)</f>
        <v>#REF!</v>
      </c>
      <c r="AU31" s="47"/>
      <c r="AV31" s="61"/>
      <c r="AW31" s="62" t="e">
        <f>ROUND((AU31*menu!#REF!+data!AV31*menu!#REF!)/100,0)</f>
        <v>#REF!</v>
      </c>
      <c r="AX31" s="47"/>
      <c r="AY31" s="61"/>
      <c r="AZ31" s="62" t="e">
        <f>ROUND((AX31*menu!#REF!+data!AY31*menu!#REF!)/100,0)</f>
        <v>#REF!</v>
      </c>
      <c r="BA31" s="47"/>
      <c r="BB31" s="61"/>
      <c r="BC31" s="62" t="e">
        <f>ROUND((BA31*menu!#REF!+data!BB31*menu!#REF!)/100,0)</f>
        <v>#REF!</v>
      </c>
      <c r="BD31" s="47"/>
      <c r="BE31" s="61"/>
      <c r="BF31" s="62" t="e">
        <f>ROUND((BD31*menu!#REF!+data!BE31*menu!#REF!)/100,0)</f>
        <v>#REF!</v>
      </c>
      <c r="BG31" s="57" t="str">
        <f>IFERROR("Ananda "&amp;PROPER(menu!B32)&amp;" kompeten dalam "&amp;data!DA31&amp;", namun perlu ditingkatkan dalam kompetensi "&amp;data!DD31,"")</f>
        <v/>
      </c>
      <c r="BH31" s="41" t="s">
        <v>73</v>
      </c>
      <c r="BI31" s="41" t="s">
        <v>73</v>
      </c>
      <c r="BJ31" s="41" t="s">
        <v>73</v>
      </c>
      <c r="BK31" s="41" t="s">
        <v>73</v>
      </c>
      <c r="BL31" s="58" t="s">
        <v>73</v>
      </c>
      <c r="BM31" s="58"/>
      <c r="BN31" s="59" t="s">
        <v>73</v>
      </c>
      <c r="BO31" s="59"/>
      <c r="BP31" s="58" t="s">
        <v>73</v>
      </c>
      <c r="BQ31" s="58"/>
      <c r="BR31" s="47" t="s">
        <v>73</v>
      </c>
      <c r="BS31" s="48" t="s">
        <v>73</v>
      </c>
      <c r="BT31" s="47" t="s">
        <v>73</v>
      </c>
      <c r="BU31" s="48"/>
      <c r="BV31" s="47"/>
      <c r="BW31" s="48"/>
      <c r="BX31" s="47"/>
      <c r="BY31" s="48"/>
      <c r="BZ31" s="58"/>
      <c r="CA31" s="58"/>
      <c r="CB31" s="41"/>
      <c r="CC31" s="41"/>
      <c r="CD31" s="58"/>
      <c r="CE31" s="58"/>
      <c r="CF31" s="60" t="str">
        <f t="shared" si="0"/>
        <v xml:space="preserve">Ananda Muhammad Yusuf menunjukkan perkembangan karakter yang  pada pembelajaran semester ini.   </v>
      </c>
      <c r="CG31" s="17" t="s">
        <v>10</v>
      </c>
      <c r="CH31" s="17"/>
      <c r="CI31" s="17"/>
      <c r="CK31" s="8" t="str">
        <f t="shared" si="1"/>
        <v/>
      </c>
      <c r="CL31" s="18" t="str">
        <f>"Ananda "&amp;PROPER(menu!B32)&amp;" menunjukkan perkembangan karakter yang "&amp;CK31&amp;" pada pembelajaran semester ini."</f>
        <v>Ananda Muhammad Yusuf menunjukkan perkembangan karakter yang  pada pembelajaran semester ini.</v>
      </c>
      <c r="CM31" s="18" t="str">
        <f t="shared" si="2"/>
        <v/>
      </c>
      <c r="CN31" s="18" t="str">
        <f t="shared" si="3"/>
        <v/>
      </c>
      <c r="CO31" s="18" t="str">
        <f t="shared" si="4"/>
        <v/>
      </c>
      <c r="CQ31" s="19" t="str">
        <f t="shared" si="5"/>
        <v/>
      </c>
      <c r="CR31" s="20" t="str">
        <f t="shared" si="6"/>
        <v/>
      </c>
      <c r="CS31" s="19" t="str">
        <f t="shared" si="7"/>
        <v/>
      </c>
      <c r="CT31" s="20" t="str">
        <f t="shared" si="8"/>
        <v/>
      </c>
      <c r="CU31" s="21" t="str">
        <f t="shared" si="9"/>
        <v/>
      </c>
      <c r="CV31" s="20" t="str">
        <f t="shared" si="10"/>
        <v/>
      </c>
      <c r="CW31" s="19" t="str">
        <f t="shared" si="11"/>
        <v/>
      </c>
      <c r="CX31" s="20" t="str">
        <f t="shared" si="12"/>
        <v/>
      </c>
      <c r="CY31" s="22">
        <f t="shared" si="13"/>
        <v>0</v>
      </c>
      <c r="CZ31" s="22" t="e">
        <f t="shared" si="14"/>
        <v>#N/A</v>
      </c>
      <c r="DA31" s="8" t="e">
        <f t="shared" si="15"/>
        <v>#N/A</v>
      </c>
      <c r="DB31" s="7">
        <f t="shared" si="16"/>
        <v>0</v>
      </c>
      <c r="DC31" s="22" t="e">
        <f t="shared" si="17"/>
        <v>#N/A</v>
      </c>
      <c r="DD31" s="23" t="e">
        <f t="shared" si="18"/>
        <v>#N/A</v>
      </c>
      <c r="DF31" s="3">
        <v>25</v>
      </c>
      <c r="DG31" s="5" t="e">
        <f t="shared" ref="DG31:DN31" si="41">DG30</f>
        <v>#REF!</v>
      </c>
      <c r="DH31" s="5" t="e">
        <f t="shared" si="41"/>
        <v>#REF!</v>
      </c>
      <c r="DI31" s="5" t="e">
        <f t="shared" si="41"/>
        <v>#REF!</v>
      </c>
      <c r="DJ31" s="5" t="e">
        <f t="shared" si="41"/>
        <v>#REF!</v>
      </c>
      <c r="DK31" s="5" t="e">
        <f t="shared" si="41"/>
        <v>#REF!</v>
      </c>
      <c r="DL31" s="5" t="e">
        <f t="shared" si="41"/>
        <v>#REF!</v>
      </c>
      <c r="DM31" s="5" t="e">
        <f t="shared" si="41"/>
        <v>#REF!</v>
      </c>
      <c r="DN31" s="5" t="e">
        <f t="shared" si="41"/>
        <v>#REF!</v>
      </c>
    </row>
    <row r="32" spans="8:119" ht="15.75" customHeight="1" x14ac:dyDescent="0.25">
      <c r="H32" s="47"/>
      <c r="I32" s="61"/>
      <c r="J32" s="62" t="e">
        <f>ROUND((H32*menu!#REF!+data!I32*menu!#REF!)/100,0)</f>
        <v>#REF!</v>
      </c>
      <c r="K32" s="47"/>
      <c r="L32" s="61"/>
      <c r="M32" s="62" t="e">
        <f>ROUND((K32*menu!#REF!+data!L32*menu!#REF!)/100,0)</f>
        <v>#REF!</v>
      </c>
      <c r="N32" s="47"/>
      <c r="O32" s="61"/>
      <c r="P32" s="64" t="e">
        <f>ROUND((N32*menu!#REF!+data!O32*menu!#REF!)/100,0)</f>
        <v>#REF!</v>
      </c>
      <c r="Q32" s="47"/>
      <c r="R32" s="61"/>
      <c r="S32" s="62" t="e">
        <f>ROUND((Q32*menu!#REF!+data!R32*menu!#REF!)/100,0)</f>
        <v>#REF!</v>
      </c>
      <c r="T32" s="47"/>
      <c r="U32" s="61"/>
      <c r="V32" s="62" t="e">
        <f>ROUND((T32*menu!#REF!+data!U32*menu!#REF!)/100,0)</f>
        <v>#REF!</v>
      </c>
      <c r="W32" s="47"/>
      <c r="X32" s="61"/>
      <c r="Y32" s="62" t="e">
        <f>ROUND((W32*menu!#REF!+data!X32*menu!#REF!)/100,0)</f>
        <v>#REF!</v>
      </c>
      <c r="Z32" s="47"/>
      <c r="AA32" s="61"/>
      <c r="AB32" s="62" t="e">
        <f>ROUND((Z32*menu!#REF!+data!AA32*menu!#REF!)/100,0)</f>
        <v>#REF!</v>
      </c>
      <c r="AC32" s="61"/>
      <c r="AD32" s="61"/>
      <c r="AE32" s="62" t="e">
        <f>ROUND((AC32*menu!#REF!+data!AD32*menu!#REF!)/100,0)</f>
        <v>#REF!</v>
      </c>
      <c r="AF32" s="47"/>
      <c r="AG32" s="61"/>
      <c r="AH32" s="62" t="e">
        <f>ROUND((AF32*menu!#REF!+data!AG32*menu!#REF!)/100,0)</f>
        <v>#REF!</v>
      </c>
      <c r="AI32" s="47"/>
      <c r="AJ32" s="61"/>
      <c r="AK32" s="62" t="e">
        <f>ROUND((AI32*menu!#REF!+data!AJ32*menu!#REF!)/100,0)</f>
        <v>#REF!</v>
      </c>
      <c r="AL32" s="47"/>
      <c r="AM32" s="61"/>
      <c r="AN32" s="62" t="e">
        <f>ROUND((AL32*menu!#REF!+data!AM32*menu!#REF!)/100,0)</f>
        <v>#REF!</v>
      </c>
      <c r="AO32" s="47"/>
      <c r="AP32" s="61"/>
      <c r="AQ32" s="62" t="e">
        <f>ROUND((AO32*menu!#REF!+data!AP32*menu!#REF!)/100,0)</f>
        <v>#REF!</v>
      </c>
      <c r="AR32" s="47"/>
      <c r="AS32" s="61"/>
      <c r="AT32" s="62" t="e">
        <f>ROUND((AR32*menu!#REF!+data!AS32*menu!#REF!)/100,0)</f>
        <v>#REF!</v>
      </c>
      <c r="AU32" s="47"/>
      <c r="AV32" s="61"/>
      <c r="AW32" s="62" t="e">
        <f>ROUND((AU32*menu!#REF!+data!AV32*menu!#REF!)/100,0)</f>
        <v>#REF!</v>
      </c>
      <c r="AX32" s="47"/>
      <c r="AY32" s="61"/>
      <c r="AZ32" s="62" t="e">
        <f>ROUND((AX32*menu!#REF!+data!AY32*menu!#REF!)/100,0)</f>
        <v>#REF!</v>
      </c>
      <c r="BA32" s="47"/>
      <c r="BB32" s="61"/>
      <c r="BC32" s="62" t="e">
        <f>ROUND((BA32*menu!#REF!+data!BB32*menu!#REF!)/100,0)</f>
        <v>#REF!</v>
      </c>
      <c r="BD32" s="47"/>
      <c r="BE32" s="61"/>
      <c r="BF32" s="62" t="e">
        <f>ROUND((BD32*menu!#REF!+data!BE32*menu!#REF!)/100,0)</f>
        <v>#REF!</v>
      </c>
      <c r="BG32" s="57" t="str">
        <f>IFERROR("Ananda "&amp;PROPER(menu!B33)&amp;" kompeten dalam "&amp;data!DA32&amp;", namun perlu ditingkatkan dalam kompetensi "&amp;data!DD32,"")</f>
        <v/>
      </c>
      <c r="BH32" s="41" t="s">
        <v>73</v>
      </c>
      <c r="BI32" s="41" t="s">
        <v>73</v>
      </c>
      <c r="BJ32" s="41" t="s">
        <v>73</v>
      </c>
      <c r="BK32" s="41" t="s">
        <v>73</v>
      </c>
      <c r="BL32" s="58" t="s">
        <v>73</v>
      </c>
      <c r="BM32" s="58"/>
      <c r="BN32" s="59" t="s">
        <v>73</v>
      </c>
      <c r="BO32" s="59"/>
      <c r="BP32" s="58" t="s">
        <v>73</v>
      </c>
      <c r="BQ32" s="58"/>
      <c r="BR32" s="47" t="s">
        <v>73</v>
      </c>
      <c r="BS32" s="48" t="s">
        <v>73</v>
      </c>
      <c r="BT32" s="47" t="s">
        <v>73</v>
      </c>
      <c r="BU32" s="48"/>
      <c r="BV32" s="47"/>
      <c r="BW32" s="48"/>
      <c r="BX32" s="47"/>
      <c r="BY32" s="48"/>
      <c r="BZ32" s="58"/>
      <c r="CA32" s="58"/>
      <c r="CB32" s="41"/>
      <c r="CC32" s="41"/>
      <c r="CD32" s="58"/>
      <c r="CE32" s="58"/>
      <c r="CF32" s="60" t="str">
        <f t="shared" si="0"/>
        <v xml:space="preserve">Ananda Nadhifa Az Zahra Prastikasari menunjukkan perkembangan karakter yang  pada pembelajaran semester ini.   </v>
      </c>
      <c r="CG32" s="17" t="s">
        <v>10</v>
      </c>
      <c r="CH32" s="17"/>
      <c r="CI32" s="17"/>
      <c r="CK32" s="8" t="str">
        <f t="shared" si="1"/>
        <v/>
      </c>
      <c r="CL32" s="18" t="str">
        <f>"Ananda "&amp;PROPER(menu!B33)&amp;" menunjukkan perkembangan karakter yang "&amp;CK32&amp;" pada pembelajaran semester ini."</f>
        <v>Ananda Nadhifa Az Zahra Prastikasari menunjukkan perkembangan karakter yang  pada pembelajaran semester ini.</v>
      </c>
      <c r="CM32" s="18" t="str">
        <f t="shared" si="2"/>
        <v/>
      </c>
      <c r="CN32" s="18" t="str">
        <f t="shared" si="3"/>
        <v/>
      </c>
      <c r="CO32" s="18" t="str">
        <f t="shared" si="4"/>
        <v/>
      </c>
      <c r="CQ32" s="19" t="str">
        <f t="shared" si="5"/>
        <v/>
      </c>
      <c r="CR32" s="20" t="str">
        <f t="shared" si="6"/>
        <v/>
      </c>
      <c r="CS32" s="19" t="str">
        <f t="shared" si="7"/>
        <v/>
      </c>
      <c r="CT32" s="20" t="str">
        <f t="shared" si="8"/>
        <v/>
      </c>
      <c r="CU32" s="21" t="str">
        <f t="shared" si="9"/>
        <v/>
      </c>
      <c r="CV32" s="20" t="str">
        <f t="shared" si="10"/>
        <v/>
      </c>
      <c r="CW32" s="19" t="str">
        <f t="shared" si="11"/>
        <v/>
      </c>
      <c r="CX32" s="20" t="str">
        <f t="shared" si="12"/>
        <v/>
      </c>
      <c r="CY32" s="22">
        <f t="shared" si="13"/>
        <v>0</v>
      </c>
      <c r="CZ32" s="22" t="e">
        <f t="shared" si="14"/>
        <v>#N/A</v>
      </c>
      <c r="DA32" s="8" t="e">
        <f t="shared" si="15"/>
        <v>#N/A</v>
      </c>
      <c r="DB32" s="7">
        <f t="shared" si="16"/>
        <v>0</v>
      </c>
      <c r="DC32" s="22" t="e">
        <f t="shared" si="17"/>
        <v>#N/A</v>
      </c>
      <c r="DD32" s="23" t="e">
        <f t="shared" si="18"/>
        <v>#N/A</v>
      </c>
      <c r="DF32" s="3">
        <v>26</v>
      </c>
      <c r="DG32" s="5" t="e">
        <f t="shared" ref="DG32:DN32" si="42">DG31</f>
        <v>#REF!</v>
      </c>
      <c r="DH32" s="5" t="e">
        <f t="shared" si="42"/>
        <v>#REF!</v>
      </c>
      <c r="DI32" s="5" t="e">
        <f t="shared" si="42"/>
        <v>#REF!</v>
      </c>
      <c r="DJ32" s="5" t="e">
        <f t="shared" si="42"/>
        <v>#REF!</v>
      </c>
      <c r="DK32" s="5" t="e">
        <f t="shared" si="42"/>
        <v>#REF!</v>
      </c>
      <c r="DL32" s="5" t="e">
        <f t="shared" si="42"/>
        <v>#REF!</v>
      </c>
      <c r="DM32" s="5" t="e">
        <f t="shared" si="42"/>
        <v>#REF!</v>
      </c>
      <c r="DN32" s="5" t="e">
        <f t="shared" si="42"/>
        <v>#REF!</v>
      </c>
    </row>
    <row r="33" spans="8:118" ht="15.75" customHeight="1" x14ac:dyDescent="0.25">
      <c r="H33" s="47"/>
      <c r="I33" s="61"/>
      <c r="J33" s="62" t="e">
        <f>ROUND((H33*menu!#REF!+data!I33*menu!#REF!)/100,0)</f>
        <v>#REF!</v>
      </c>
      <c r="K33" s="47"/>
      <c r="L33" s="61"/>
      <c r="M33" s="62" t="e">
        <f>ROUND((K33*menu!#REF!+data!L33*menu!#REF!)/100,0)</f>
        <v>#REF!</v>
      </c>
      <c r="N33" s="47"/>
      <c r="O33" s="61"/>
      <c r="P33" s="64" t="e">
        <f>ROUND((N33*menu!#REF!+data!O33*menu!#REF!)/100,0)</f>
        <v>#REF!</v>
      </c>
      <c r="Q33" s="47"/>
      <c r="R33" s="61"/>
      <c r="S33" s="62" t="e">
        <f>ROUND((Q33*menu!#REF!+data!R33*menu!#REF!)/100,0)</f>
        <v>#REF!</v>
      </c>
      <c r="T33" s="47"/>
      <c r="U33" s="61"/>
      <c r="V33" s="62" t="e">
        <f>ROUND((T33*menu!#REF!+data!U33*menu!#REF!)/100,0)</f>
        <v>#REF!</v>
      </c>
      <c r="W33" s="47"/>
      <c r="X33" s="61"/>
      <c r="Y33" s="62" t="e">
        <f>ROUND((W33*menu!#REF!+data!X33*menu!#REF!)/100,0)</f>
        <v>#REF!</v>
      </c>
      <c r="Z33" s="47"/>
      <c r="AA33" s="61"/>
      <c r="AB33" s="62" t="e">
        <f>ROUND((Z33*menu!#REF!+data!AA33*menu!#REF!)/100,0)</f>
        <v>#REF!</v>
      </c>
      <c r="AC33" s="61"/>
      <c r="AD33" s="61"/>
      <c r="AE33" s="62" t="e">
        <f>ROUND((AC33*menu!#REF!+data!AD33*menu!#REF!)/100,0)</f>
        <v>#REF!</v>
      </c>
      <c r="AF33" s="47"/>
      <c r="AG33" s="61"/>
      <c r="AH33" s="62" t="e">
        <f>ROUND((AF33*menu!#REF!+data!AG33*menu!#REF!)/100,0)</f>
        <v>#REF!</v>
      </c>
      <c r="AI33" s="47"/>
      <c r="AJ33" s="61"/>
      <c r="AK33" s="62" t="e">
        <f>ROUND((AI33*menu!#REF!+data!AJ33*menu!#REF!)/100,0)</f>
        <v>#REF!</v>
      </c>
      <c r="AL33" s="47"/>
      <c r="AM33" s="61"/>
      <c r="AN33" s="62" t="e">
        <f>ROUND((AL33*menu!#REF!+data!AM33*menu!#REF!)/100,0)</f>
        <v>#REF!</v>
      </c>
      <c r="AO33" s="47"/>
      <c r="AP33" s="61"/>
      <c r="AQ33" s="62" t="e">
        <f>ROUND((AO33*menu!#REF!+data!AP33*menu!#REF!)/100,0)</f>
        <v>#REF!</v>
      </c>
      <c r="AR33" s="47"/>
      <c r="AS33" s="61"/>
      <c r="AT33" s="62" t="e">
        <f>ROUND((AR33*menu!#REF!+data!AS33*menu!#REF!)/100,0)</f>
        <v>#REF!</v>
      </c>
      <c r="AU33" s="47"/>
      <c r="AV33" s="61"/>
      <c r="AW33" s="62" t="e">
        <f>ROUND((AU33*menu!#REF!+data!AV33*menu!#REF!)/100,0)</f>
        <v>#REF!</v>
      </c>
      <c r="AX33" s="47"/>
      <c r="AY33" s="61"/>
      <c r="AZ33" s="62" t="e">
        <f>ROUND((AX33*menu!#REF!+data!AY33*menu!#REF!)/100,0)</f>
        <v>#REF!</v>
      </c>
      <c r="BA33" s="47"/>
      <c r="BB33" s="61"/>
      <c r="BC33" s="62" t="e">
        <f>ROUND((BA33*menu!#REF!+data!BB33*menu!#REF!)/100,0)</f>
        <v>#REF!</v>
      </c>
      <c r="BD33" s="47"/>
      <c r="BE33" s="61"/>
      <c r="BF33" s="62" t="e">
        <f>ROUND((BD33*menu!#REF!+data!BE33*menu!#REF!)/100,0)</f>
        <v>#REF!</v>
      </c>
      <c r="BG33" s="57" t="str">
        <f>IFERROR("Ananda "&amp;PROPER(menu!B34)&amp;" kompeten dalam "&amp;data!DA33&amp;", namun perlu ditingkatkan dalam kompetensi "&amp;data!DD33,"")</f>
        <v/>
      </c>
      <c r="BH33" s="41" t="s">
        <v>73</v>
      </c>
      <c r="BI33" s="41" t="s">
        <v>73</v>
      </c>
      <c r="BJ33" s="41" t="s">
        <v>73</v>
      </c>
      <c r="BK33" s="41" t="s">
        <v>73</v>
      </c>
      <c r="BL33" s="58" t="s">
        <v>73</v>
      </c>
      <c r="BM33" s="58"/>
      <c r="BN33" s="59" t="s">
        <v>73</v>
      </c>
      <c r="BO33" s="59"/>
      <c r="BP33" s="58" t="s">
        <v>73</v>
      </c>
      <c r="BQ33" s="58"/>
      <c r="BR33" s="47" t="s">
        <v>73</v>
      </c>
      <c r="BS33" s="48" t="s">
        <v>73</v>
      </c>
      <c r="BT33" s="47" t="s">
        <v>73</v>
      </c>
      <c r="BU33" s="48"/>
      <c r="BV33" s="47"/>
      <c r="BW33" s="48"/>
      <c r="BX33" s="47"/>
      <c r="BY33" s="48"/>
      <c r="BZ33" s="58"/>
      <c r="CA33" s="58"/>
      <c r="CB33" s="41"/>
      <c r="CC33" s="41"/>
      <c r="CD33" s="58"/>
      <c r="CE33" s="58"/>
      <c r="CF33" s="60" t="str">
        <f t="shared" si="0"/>
        <v xml:space="preserve">Ananda Natasya Amelita Putri menunjukkan perkembangan karakter yang  pada pembelajaran semester ini.   </v>
      </c>
      <c r="CG33" s="17" t="s">
        <v>10</v>
      </c>
      <c r="CH33" s="17"/>
      <c r="CI33" s="17"/>
      <c r="CK33" s="8" t="str">
        <f t="shared" si="1"/>
        <v/>
      </c>
      <c r="CL33" s="18" t="str">
        <f>"Ananda "&amp;PROPER(menu!B34)&amp;" menunjukkan perkembangan karakter yang "&amp;CK33&amp;" pada pembelajaran semester ini."</f>
        <v>Ananda Natasya Amelita Putri menunjukkan perkembangan karakter yang  pada pembelajaran semester ini.</v>
      </c>
      <c r="CM33" s="18" t="str">
        <f t="shared" si="2"/>
        <v/>
      </c>
      <c r="CN33" s="18" t="str">
        <f t="shared" si="3"/>
        <v/>
      </c>
      <c r="CO33" s="18" t="str">
        <f t="shared" si="4"/>
        <v/>
      </c>
      <c r="CQ33" s="19" t="str">
        <f t="shared" si="5"/>
        <v/>
      </c>
      <c r="CR33" s="20" t="str">
        <f t="shared" si="6"/>
        <v/>
      </c>
      <c r="CS33" s="19" t="str">
        <f t="shared" si="7"/>
        <v/>
      </c>
      <c r="CT33" s="20" t="str">
        <f t="shared" si="8"/>
        <v/>
      </c>
      <c r="CU33" s="21" t="str">
        <f t="shared" si="9"/>
        <v/>
      </c>
      <c r="CV33" s="20" t="str">
        <f t="shared" si="10"/>
        <v/>
      </c>
      <c r="CW33" s="19" t="str">
        <f t="shared" si="11"/>
        <v/>
      </c>
      <c r="CX33" s="20" t="str">
        <f t="shared" si="12"/>
        <v/>
      </c>
      <c r="CY33" s="22">
        <f t="shared" si="13"/>
        <v>0</v>
      </c>
      <c r="CZ33" s="22" t="e">
        <f t="shared" si="14"/>
        <v>#N/A</v>
      </c>
      <c r="DA33" s="8" t="e">
        <f t="shared" si="15"/>
        <v>#N/A</v>
      </c>
      <c r="DB33" s="7">
        <f t="shared" si="16"/>
        <v>0</v>
      </c>
      <c r="DC33" s="22" t="e">
        <f t="shared" si="17"/>
        <v>#N/A</v>
      </c>
      <c r="DD33" s="23" t="e">
        <f t="shared" si="18"/>
        <v>#N/A</v>
      </c>
      <c r="DF33" s="3">
        <v>27</v>
      </c>
      <c r="DG33" s="5" t="e">
        <f t="shared" ref="DG33:DN33" si="43">DG32</f>
        <v>#REF!</v>
      </c>
      <c r="DH33" s="5" t="e">
        <f t="shared" si="43"/>
        <v>#REF!</v>
      </c>
      <c r="DI33" s="5" t="e">
        <f t="shared" si="43"/>
        <v>#REF!</v>
      </c>
      <c r="DJ33" s="5" t="e">
        <f t="shared" si="43"/>
        <v>#REF!</v>
      </c>
      <c r="DK33" s="5" t="e">
        <f t="shared" si="43"/>
        <v>#REF!</v>
      </c>
      <c r="DL33" s="5" t="e">
        <f t="shared" si="43"/>
        <v>#REF!</v>
      </c>
      <c r="DM33" s="5" t="e">
        <f t="shared" si="43"/>
        <v>#REF!</v>
      </c>
      <c r="DN33" s="5" t="e">
        <f t="shared" si="43"/>
        <v>#REF!</v>
      </c>
    </row>
    <row r="34" spans="8:118" ht="15.75" customHeight="1" x14ac:dyDescent="0.25">
      <c r="H34" s="47"/>
      <c r="I34" s="61"/>
      <c r="J34" s="62" t="e">
        <f>ROUND((H34*menu!#REF!+data!I34*menu!#REF!)/100,0)</f>
        <v>#REF!</v>
      </c>
      <c r="K34" s="47"/>
      <c r="L34" s="61"/>
      <c r="M34" s="62" t="e">
        <f>ROUND((K34*menu!#REF!+data!L34*menu!#REF!)/100,0)</f>
        <v>#REF!</v>
      </c>
      <c r="N34" s="47"/>
      <c r="O34" s="61"/>
      <c r="P34" s="64" t="e">
        <f>ROUND((N34*menu!#REF!+data!O34*menu!#REF!)/100,0)</f>
        <v>#REF!</v>
      </c>
      <c r="Q34" s="47"/>
      <c r="R34" s="61"/>
      <c r="S34" s="62" t="e">
        <f>ROUND((Q34*menu!#REF!+data!R34*menu!#REF!)/100,0)</f>
        <v>#REF!</v>
      </c>
      <c r="T34" s="47"/>
      <c r="U34" s="61"/>
      <c r="V34" s="62" t="e">
        <f>ROUND((T34*menu!#REF!+data!U34*menu!#REF!)/100,0)</f>
        <v>#REF!</v>
      </c>
      <c r="W34" s="47"/>
      <c r="X34" s="61"/>
      <c r="Y34" s="62" t="e">
        <f>ROUND((W34*menu!#REF!+data!X34*menu!#REF!)/100,0)</f>
        <v>#REF!</v>
      </c>
      <c r="Z34" s="47"/>
      <c r="AA34" s="61"/>
      <c r="AB34" s="62" t="e">
        <f>ROUND((Z34*menu!#REF!+data!AA34*menu!#REF!)/100,0)</f>
        <v>#REF!</v>
      </c>
      <c r="AC34" s="61"/>
      <c r="AD34" s="61"/>
      <c r="AE34" s="62" t="e">
        <f>ROUND((AC34*menu!#REF!+data!AD34*menu!#REF!)/100,0)</f>
        <v>#REF!</v>
      </c>
      <c r="AF34" s="47"/>
      <c r="AG34" s="61"/>
      <c r="AH34" s="62" t="e">
        <f>ROUND((AF34*menu!#REF!+data!AG34*menu!#REF!)/100,0)</f>
        <v>#REF!</v>
      </c>
      <c r="AI34" s="47"/>
      <c r="AJ34" s="61"/>
      <c r="AK34" s="62" t="e">
        <f>ROUND((AI34*menu!#REF!+data!AJ34*menu!#REF!)/100,0)</f>
        <v>#REF!</v>
      </c>
      <c r="AL34" s="47"/>
      <c r="AM34" s="61"/>
      <c r="AN34" s="62" t="e">
        <f>ROUND((AL34*menu!#REF!+data!AM34*menu!#REF!)/100,0)</f>
        <v>#REF!</v>
      </c>
      <c r="AO34" s="47"/>
      <c r="AP34" s="61"/>
      <c r="AQ34" s="62" t="e">
        <f>ROUND((AO34*menu!#REF!+data!AP34*menu!#REF!)/100,0)</f>
        <v>#REF!</v>
      </c>
      <c r="AR34" s="47"/>
      <c r="AS34" s="61"/>
      <c r="AT34" s="62" t="e">
        <f>ROUND((AR34*menu!#REF!+data!AS34*menu!#REF!)/100,0)</f>
        <v>#REF!</v>
      </c>
      <c r="AU34" s="47"/>
      <c r="AV34" s="61"/>
      <c r="AW34" s="62" t="e">
        <f>ROUND((AU34*menu!#REF!+data!AV34*menu!#REF!)/100,0)</f>
        <v>#REF!</v>
      </c>
      <c r="AX34" s="47"/>
      <c r="AY34" s="61"/>
      <c r="AZ34" s="62" t="e">
        <f>ROUND((AX34*menu!#REF!+data!AY34*menu!#REF!)/100,0)</f>
        <v>#REF!</v>
      </c>
      <c r="BA34" s="47"/>
      <c r="BB34" s="61"/>
      <c r="BC34" s="62" t="e">
        <f>ROUND((BA34*menu!#REF!+data!BB34*menu!#REF!)/100,0)</f>
        <v>#REF!</v>
      </c>
      <c r="BD34" s="47"/>
      <c r="BE34" s="61"/>
      <c r="BF34" s="62" t="e">
        <f>ROUND((BD34*menu!#REF!+data!BE34*menu!#REF!)/100,0)</f>
        <v>#REF!</v>
      </c>
      <c r="BG34" s="57" t="str">
        <f>IFERROR("Ananda "&amp;PROPER(menu!B35)&amp;" kompeten dalam "&amp;data!DA34&amp;", namun perlu ditingkatkan dalam kompetensi "&amp;data!DD34,"")</f>
        <v/>
      </c>
      <c r="BH34" s="41" t="s">
        <v>73</v>
      </c>
      <c r="BI34" s="41" t="s">
        <v>73</v>
      </c>
      <c r="BJ34" s="41" t="s">
        <v>73</v>
      </c>
      <c r="BK34" s="41" t="s">
        <v>73</v>
      </c>
      <c r="BL34" s="58" t="s">
        <v>73</v>
      </c>
      <c r="BM34" s="58"/>
      <c r="BN34" s="59" t="s">
        <v>73</v>
      </c>
      <c r="BO34" s="59"/>
      <c r="BP34" s="58" t="s">
        <v>73</v>
      </c>
      <c r="BQ34" s="58"/>
      <c r="BR34" s="47" t="s">
        <v>73</v>
      </c>
      <c r="BS34" s="48" t="s">
        <v>73</v>
      </c>
      <c r="BT34" s="47" t="s">
        <v>73</v>
      </c>
      <c r="BU34" s="48"/>
      <c r="BV34" s="47"/>
      <c r="BW34" s="48"/>
      <c r="BX34" s="47"/>
      <c r="BY34" s="48"/>
      <c r="BZ34" s="58"/>
      <c r="CA34" s="58"/>
      <c r="CB34" s="41"/>
      <c r="CC34" s="41"/>
      <c r="CD34" s="58"/>
      <c r="CE34" s="58"/>
      <c r="CF34" s="60" t="str">
        <f t="shared" si="0"/>
        <v xml:space="preserve">Ananda Noval Divi Syaputra menunjukkan perkembangan karakter yang  pada pembelajaran semester ini.   </v>
      </c>
      <c r="CG34" s="17" t="s">
        <v>10</v>
      </c>
      <c r="CH34" s="17"/>
      <c r="CI34" s="17"/>
      <c r="CK34" s="8" t="str">
        <f t="shared" si="1"/>
        <v/>
      </c>
      <c r="CL34" s="18" t="str">
        <f>"Ananda "&amp;PROPER(menu!B35)&amp;" menunjukkan perkembangan karakter yang "&amp;CK34&amp;" pada pembelajaran semester ini."</f>
        <v>Ananda Noval Divi Syaputra menunjukkan perkembangan karakter yang  pada pembelajaran semester ini.</v>
      </c>
      <c r="CM34" s="18" t="str">
        <f t="shared" si="2"/>
        <v/>
      </c>
      <c r="CN34" s="18" t="str">
        <f t="shared" si="3"/>
        <v/>
      </c>
      <c r="CO34" s="18" t="str">
        <f t="shared" si="4"/>
        <v/>
      </c>
      <c r="CQ34" s="19" t="str">
        <f t="shared" si="5"/>
        <v/>
      </c>
      <c r="CR34" s="20" t="str">
        <f t="shared" si="6"/>
        <v/>
      </c>
      <c r="CS34" s="19" t="str">
        <f t="shared" si="7"/>
        <v/>
      </c>
      <c r="CT34" s="20" t="str">
        <f t="shared" si="8"/>
        <v/>
      </c>
      <c r="CU34" s="21" t="str">
        <f t="shared" si="9"/>
        <v/>
      </c>
      <c r="CV34" s="20" t="str">
        <f t="shared" si="10"/>
        <v/>
      </c>
      <c r="CW34" s="19" t="str">
        <f t="shared" si="11"/>
        <v/>
      </c>
      <c r="CX34" s="20" t="str">
        <f t="shared" si="12"/>
        <v/>
      </c>
      <c r="CY34" s="22">
        <f t="shared" si="13"/>
        <v>0</v>
      </c>
      <c r="CZ34" s="22" t="e">
        <f t="shared" si="14"/>
        <v>#N/A</v>
      </c>
      <c r="DA34" s="8" t="e">
        <f t="shared" si="15"/>
        <v>#N/A</v>
      </c>
      <c r="DB34" s="7">
        <f t="shared" si="16"/>
        <v>0</v>
      </c>
      <c r="DC34" s="22" t="e">
        <f t="shared" si="17"/>
        <v>#N/A</v>
      </c>
      <c r="DD34" s="23" t="e">
        <f t="shared" si="18"/>
        <v>#N/A</v>
      </c>
      <c r="DF34" s="3">
        <v>28</v>
      </c>
      <c r="DG34" s="5" t="e">
        <f t="shared" ref="DG34:DN34" si="44">DG33</f>
        <v>#REF!</v>
      </c>
      <c r="DH34" s="5" t="e">
        <f t="shared" si="44"/>
        <v>#REF!</v>
      </c>
      <c r="DI34" s="5" t="e">
        <f t="shared" si="44"/>
        <v>#REF!</v>
      </c>
      <c r="DJ34" s="5" t="e">
        <f t="shared" si="44"/>
        <v>#REF!</v>
      </c>
      <c r="DK34" s="5" t="e">
        <f t="shared" si="44"/>
        <v>#REF!</v>
      </c>
      <c r="DL34" s="5" t="e">
        <f t="shared" si="44"/>
        <v>#REF!</v>
      </c>
      <c r="DM34" s="5" t="e">
        <f t="shared" si="44"/>
        <v>#REF!</v>
      </c>
      <c r="DN34" s="5" t="e">
        <f t="shared" si="44"/>
        <v>#REF!</v>
      </c>
    </row>
    <row r="35" spans="8:118" ht="15.75" customHeight="1" x14ac:dyDescent="0.25">
      <c r="H35" s="47"/>
      <c r="I35" s="61"/>
      <c r="J35" s="62" t="e">
        <f>ROUND((H35*menu!#REF!+data!I35*menu!#REF!)/100,0)</f>
        <v>#REF!</v>
      </c>
      <c r="K35" s="47"/>
      <c r="L35" s="61"/>
      <c r="M35" s="62" t="e">
        <f>ROUND((K35*menu!#REF!+data!L35*menu!#REF!)/100,0)</f>
        <v>#REF!</v>
      </c>
      <c r="N35" s="47"/>
      <c r="O35" s="61"/>
      <c r="P35" s="64" t="e">
        <f>ROUND((N35*menu!#REF!+data!O35*menu!#REF!)/100,0)</f>
        <v>#REF!</v>
      </c>
      <c r="Q35" s="47"/>
      <c r="R35" s="61"/>
      <c r="S35" s="62" t="e">
        <f>ROUND((Q35*menu!#REF!+data!R35*menu!#REF!)/100,0)</f>
        <v>#REF!</v>
      </c>
      <c r="T35" s="47"/>
      <c r="U35" s="61"/>
      <c r="V35" s="62" t="e">
        <f>ROUND((T35*menu!#REF!+data!U35*menu!#REF!)/100,0)</f>
        <v>#REF!</v>
      </c>
      <c r="W35" s="47"/>
      <c r="X35" s="61"/>
      <c r="Y35" s="62" t="e">
        <f>ROUND((W35*menu!#REF!+data!X35*menu!#REF!)/100,0)</f>
        <v>#REF!</v>
      </c>
      <c r="Z35" s="47"/>
      <c r="AA35" s="61"/>
      <c r="AB35" s="62" t="e">
        <f>ROUND((Z35*menu!#REF!+data!AA35*menu!#REF!)/100,0)</f>
        <v>#REF!</v>
      </c>
      <c r="AC35" s="61"/>
      <c r="AD35" s="61"/>
      <c r="AE35" s="62" t="e">
        <f>ROUND((AC35*menu!#REF!+data!AD35*menu!#REF!)/100,0)</f>
        <v>#REF!</v>
      </c>
      <c r="AF35" s="47"/>
      <c r="AG35" s="61"/>
      <c r="AH35" s="62" t="e">
        <f>ROUND((AF35*menu!#REF!+data!AG35*menu!#REF!)/100,0)</f>
        <v>#REF!</v>
      </c>
      <c r="AI35" s="47"/>
      <c r="AJ35" s="61"/>
      <c r="AK35" s="62" t="e">
        <f>ROUND((AI35*menu!#REF!+data!AJ35*menu!#REF!)/100,0)</f>
        <v>#REF!</v>
      </c>
      <c r="AL35" s="47"/>
      <c r="AM35" s="61"/>
      <c r="AN35" s="62" t="e">
        <f>ROUND((AL35*menu!#REF!+data!AM35*menu!#REF!)/100,0)</f>
        <v>#REF!</v>
      </c>
      <c r="AO35" s="47"/>
      <c r="AP35" s="61"/>
      <c r="AQ35" s="62" t="e">
        <f>ROUND((AO35*menu!#REF!+data!AP35*menu!#REF!)/100,0)</f>
        <v>#REF!</v>
      </c>
      <c r="AR35" s="47"/>
      <c r="AS35" s="61"/>
      <c r="AT35" s="62" t="e">
        <f>ROUND((AR35*menu!#REF!+data!AS35*menu!#REF!)/100,0)</f>
        <v>#REF!</v>
      </c>
      <c r="AU35" s="47"/>
      <c r="AV35" s="61"/>
      <c r="AW35" s="62" t="e">
        <f>ROUND((AU35*menu!#REF!+data!AV35*menu!#REF!)/100,0)</f>
        <v>#REF!</v>
      </c>
      <c r="AX35" s="47"/>
      <c r="AY35" s="61"/>
      <c r="AZ35" s="62" t="e">
        <f>ROUND((AX35*menu!#REF!+data!AY35*menu!#REF!)/100,0)</f>
        <v>#REF!</v>
      </c>
      <c r="BA35" s="47"/>
      <c r="BB35" s="61"/>
      <c r="BC35" s="62" t="e">
        <f>ROUND((BA35*menu!#REF!+data!BB35*menu!#REF!)/100,0)</f>
        <v>#REF!</v>
      </c>
      <c r="BD35" s="47"/>
      <c r="BE35" s="61"/>
      <c r="BF35" s="62" t="e">
        <f>ROUND((BD35*menu!#REF!+data!BE35*menu!#REF!)/100,0)</f>
        <v>#REF!</v>
      </c>
      <c r="BG35" s="57" t="str">
        <f>IFERROR("Ananda "&amp;PROPER(menu!B36)&amp;" kompeten dalam "&amp;data!DA35&amp;", namun perlu ditingkatkan dalam kompetensi "&amp;data!DD35,"")</f>
        <v/>
      </c>
      <c r="BH35" s="41" t="s">
        <v>73</v>
      </c>
      <c r="BI35" s="41" t="s">
        <v>73</v>
      </c>
      <c r="BJ35" s="41" t="s">
        <v>73</v>
      </c>
      <c r="BK35" s="41" t="s">
        <v>73</v>
      </c>
      <c r="BL35" s="58" t="s">
        <v>73</v>
      </c>
      <c r="BM35" s="58"/>
      <c r="BN35" s="59" t="s">
        <v>73</v>
      </c>
      <c r="BO35" s="59"/>
      <c r="BP35" s="58" t="s">
        <v>73</v>
      </c>
      <c r="BQ35" s="58"/>
      <c r="BR35" s="47" t="s">
        <v>73</v>
      </c>
      <c r="BS35" s="48" t="s">
        <v>73</v>
      </c>
      <c r="BT35" s="47" t="s">
        <v>73</v>
      </c>
      <c r="BU35" s="48"/>
      <c r="BV35" s="47"/>
      <c r="BW35" s="48"/>
      <c r="BX35" s="47"/>
      <c r="BY35" s="48"/>
      <c r="BZ35" s="58"/>
      <c r="CA35" s="58"/>
      <c r="CB35" s="41"/>
      <c r="CC35" s="41"/>
      <c r="CD35" s="58"/>
      <c r="CE35" s="58"/>
      <c r="CF35" s="60" t="str">
        <f t="shared" si="0"/>
        <v xml:space="preserve">Ananda Rahma Tiya Cantika menunjukkan perkembangan karakter yang  pada pembelajaran semester ini.   </v>
      </c>
      <c r="CG35" s="17" t="s">
        <v>10</v>
      </c>
      <c r="CH35" s="17"/>
      <c r="CI35" s="17"/>
      <c r="CK35" s="8" t="str">
        <f t="shared" si="1"/>
        <v/>
      </c>
      <c r="CL35" s="18" t="str">
        <f>"Ananda "&amp;PROPER(menu!B36)&amp;" menunjukkan perkembangan karakter yang "&amp;CK35&amp;" pada pembelajaran semester ini."</f>
        <v>Ananda Rahma Tiya Cantika menunjukkan perkembangan karakter yang  pada pembelajaran semester ini.</v>
      </c>
      <c r="CM35" s="18" t="str">
        <f t="shared" si="2"/>
        <v/>
      </c>
      <c r="CN35" s="18" t="str">
        <f t="shared" si="3"/>
        <v/>
      </c>
      <c r="CO35" s="18" t="str">
        <f t="shared" si="4"/>
        <v/>
      </c>
      <c r="CQ35" s="19" t="str">
        <f t="shared" si="5"/>
        <v/>
      </c>
      <c r="CR35" s="20" t="str">
        <f t="shared" si="6"/>
        <v/>
      </c>
      <c r="CS35" s="19" t="str">
        <f t="shared" si="7"/>
        <v/>
      </c>
      <c r="CT35" s="20" t="str">
        <f t="shared" si="8"/>
        <v/>
      </c>
      <c r="CU35" s="21" t="str">
        <f t="shared" si="9"/>
        <v/>
      </c>
      <c r="CV35" s="20" t="str">
        <f t="shared" si="10"/>
        <v/>
      </c>
      <c r="CW35" s="19" t="str">
        <f t="shared" si="11"/>
        <v/>
      </c>
      <c r="CX35" s="20" t="str">
        <f t="shared" si="12"/>
        <v/>
      </c>
      <c r="CY35" s="22">
        <f t="shared" si="13"/>
        <v>0</v>
      </c>
      <c r="CZ35" s="22" t="e">
        <f t="shared" si="14"/>
        <v>#N/A</v>
      </c>
      <c r="DA35" s="8" t="e">
        <f t="shared" si="15"/>
        <v>#N/A</v>
      </c>
      <c r="DB35" s="7">
        <f t="shared" si="16"/>
        <v>0</v>
      </c>
      <c r="DC35" s="22" t="e">
        <f t="shared" si="17"/>
        <v>#N/A</v>
      </c>
      <c r="DD35" s="23" t="e">
        <f t="shared" si="18"/>
        <v>#N/A</v>
      </c>
      <c r="DF35" s="3">
        <v>29</v>
      </c>
      <c r="DG35" s="5" t="e">
        <f t="shared" ref="DG35:DN35" si="45">DG34</f>
        <v>#REF!</v>
      </c>
      <c r="DH35" s="5" t="e">
        <f t="shared" si="45"/>
        <v>#REF!</v>
      </c>
      <c r="DI35" s="5" t="e">
        <f t="shared" si="45"/>
        <v>#REF!</v>
      </c>
      <c r="DJ35" s="5" t="e">
        <f t="shared" si="45"/>
        <v>#REF!</v>
      </c>
      <c r="DK35" s="5" t="e">
        <f t="shared" si="45"/>
        <v>#REF!</v>
      </c>
      <c r="DL35" s="5" t="e">
        <f t="shared" si="45"/>
        <v>#REF!</v>
      </c>
      <c r="DM35" s="5" t="e">
        <f t="shared" si="45"/>
        <v>#REF!</v>
      </c>
      <c r="DN35" s="5" t="e">
        <f t="shared" si="45"/>
        <v>#REF!</v>
      </c>
    </row>
    <row r="36" spans="8:118" ht="15.75" customHeight="1" x14ac:dyDescent="0.25">
      <c r="H36" s="47"/>
      <c r="I36" s="61"/>
      <c r="J36" s="62" t="e">
        <f>ROUND((H36*menu!#REF!+data!I36*menu!#REF!)/100,0)</f>
        <v>#REF!</v>
      </c>
      <c r="K36" s="47"/>
      <c r="L36" s="61"/>
      <c r="M36" s="62" t="e">
        <f>ROUND((K36*menu!#REF!+data!L36*menu!#REF!)/100,0)</f>
        <v>#REF!</v>
      </c>
      <c r="N36" s="47"/>
      <c r="O36" s="61"/>
      <c r="P36" s="64" t="e">
        <f>ROUND((N36*menu!#REF!+data!O36*menu!#REF!)/100,0)</f>
        <v>#REF!</v>
      </c>
      <c r="Q36" s="47"/>
      <c r="R36" s="61"/>
      <c r="S36" s="62" t="e">
        <f>ROUND((Q36*menu!#REF!+data!R36*menu!#REF!)/100,0)</f>
        <v>#REF!</v>
      </c>
      <c r="T36" s="47"/>
      <c r="U36" s="61"/>
      <c r="V36" s="62" t="e">
        <f>ROUND((T36*menu!#REF!+data!U36*menu!#REF!)/100,0)</f>
        <v>#REF!</v>
      </c>
      <c r="W36" s="47"/>
      <c r="X36" s="61"/>
      <c r="Y36" s="62" t="e">
        <f>ROUND((W36*menu!#REF!+data!X36*menu!#REF!)/100,0)</f>
        <v>#REF!</v>
      </c>
      <c r="Z36" s="47"/>
      <c r="AA36" s="61"/>
      <c r="AB36" s="62" t="e">
        <f>ROUND((Z36*menu!#REF!+data!AA36*menu!#REF!)/100,0)</f>
        <v>#REF!</v>
      </c>
      <c r="AC36" s="61"/>
      <c r="AD36" s="61"/>
      <c r="AE36" s="62" t="e">
        <f>ROUND((AC36*menu!#REF!+data!AD36*menu!#REF!)/100,0)</f>
        <v>#REF!</v>
      </c>
      <c r="AF36" s="47"/>
      <c r="AG36" s="61"/>
      <c r="AH36" s="62" t="e">
        <f>ROUND((AF36*menu!#REF!+data!AG36*menu!#REF!)/100,0)</f>
        <v>#REF!</v>
      </c>
      <c r="AI36" s="47"/>
      <c r="AJ36" s="61"/>
      <c r="AK36" s="62" t="e">
        <f>ROUND((AI36*menu!#REF!+data!AJ36*menu!#REF!)/100,0)</f>
        <v>#REF!</v>
      </c>
      <c r="AL36" s="47"/>
      <c r="AM36" s="61"/>
      <c r="AN36" s="62" t="e">
        <f>ROUND((AL36*menu!#REF!+data!AM36*menu!#REF!)/100,0)</f>
        <v>#REF!</v>
      </c>
      <c r="AO36" s="47"/>
      <c r="AP36" s="61"/>
      <c r="AQ36" s="62" t="e">
        <f>ROUND((AO36*menu!#REF!+data!AP36*menu!#REF!)/100,0)</f>
        <v>#REF!</v>
      </c>
      <c r="AR36" s="47"/>
      <c r="AS36" s="61"/>
      <c r="AT36" s="62" t="e">
        <f>ROUND((AR36*menu!#REF!+data!AS36*menu!#REF!)/100,0)</f>
        <v>#REF!</v>
      </c>
      <c r="AU36" s="47"/>
      <c r="AV36" s="61"/>
      <c r="AW36" s="62" t="e">
        <f>ROUND((AU36*menu!#REF!+data!AV36*menu!#REF!)/100,0)</f>
        <v>#REF!</v>
      </c>
      <c r="AX36" s="47"/>
      <c r="AY36" s="61"/>
      <c r="AZ36" s="62" t="e">
        <f>ROUND((AX36*menu!#REF!+data!AY36*menu!#REF!)/100,0)</f>
        <v>#REF!</v>
      </c>
      <c r="BA36" s="47"/>
      <c r="BB36" s="61"/>
      <c r="BC36" s="62" t="e">
        <f>ROUND((BA36*menu!#REF!+data!BB36*menu!#REF!)/100,0)</f>
        <v>#REF!</v>
      </c>
      <c r="BD36" s="47"/>
      <c r="BE36" s="61"/>
      <c r="BF36" s="62" t="e">
        <f>ROUND((BD36*menu!#REF!+data!BE36*menu!#REF!)/100,0)</f>
        <v>#REF!</v>
      </c>
      <c r="BG36" s="57" t="str">
        <f>IFERROR("Ananda "&amp;PROPER(menu!B37)&amp;" kompeten dalam "&amp;data!DA36&amp;", namun perlu ditingkatkan dalam kompetensi "&amp;data!DD36,"")</f>
        <v/>
      </c>
      <c r="BH36" s="41" t="s">
        <v>73</v>
      </c>
      <c r="BI36" s="41" t="s">
        <v>73</v>
      </c>
      <c r="BJ36" s="41" t="s">
        <v>73</v>
      </c>
      <c r="BK36" s="41" t="s">
        <v>73</v>
      </c>
      <c r="BL36" s="58" t="s">
        <v>73</v>
      </c>
      <c r="BM36" s="58"/>
      <c r="BN36" s="59" t="s">
        <v>73</v>
      </c>
      <c r="BO36" s="59"/>
      <c r="BP36" s="58" t="s">
        <v>73</v>
      </c>
      <c r="BQ36" s="58"/>
      <c r="BR36" s="47" t="s">
        <v>73</v>
      </c>
      <c r="BS36" s="48" t="s">
        <v>73</v>
      </c>
      <c r="BT36" s="47" t="s">
        <v>73</v>
      </c>
      <c r="BU36" s="48"/>
      <c r="BV36" s="47"/>
      <c r="BW36" s="48"/>
      <c r="BX36" s="47"/>
      <c r="BY36" s="48"/>
      <c r="BZ36" s="58"/>
      <c r="CA36" s="58"/>
      <c r="CB36" s="41"/>
      <c r="CC36" s="41"/>
      <c r="CD36" s="58"/>
      <c r="CE36" s="58"/>
      <c r="CF36" s="60" t="str">
        <f t="shared" si="0"/>
        <v xml:space="preserve">Ananda Reyana Sispani menunjukkan perkembangan karakter yang  pada pembelajaran semester ini.   </v>
      </c>
      <c r="CG36" s="17" t="s">
        <v>10</v>
      </c>
      <c r="CH36" s="17"/>
      <c r="CI36" s="17"/>
      <c r="CK36" s="8" t="str">
        <f t="shared" si="1"/>
        <v/>
      </c>
      <c r="CL36" s="18" t="str">
        <f>"Ananda "&amp;PROPER(menu!B37)&amp;" menunjukkan perkembangan karakter yang "&amp;CK36&amp;" pada pembelajaran semester ini."</f>
        <v>Ananda Reyana Sispani menunjukkan perkembangan karakter yang  pada pembelajaran semester ini.</v>
      </c>
      <c r="CM36" s="18" t="str">
        <f t="shared" si="2"/>
        <v/>
      </c>
      <c r="CN36" s="18" t="str">
        <f t="shared" si="3"/>
        <v/>
      </c>
      <c r="CO36" s="18" t="str">
        <f t="shared" si="4"/>
        <v/>
      </c>
      <c r="CQ36" s="19" t="str">
        <f t="shared" si="5"/>
        <v/>
      </c>
      <c r="CR36" s="20" t="str">
        <f t="shared" si="6"/>
        <v/>
      </c>
      <c r="CS36" s="19" t="str">
        <f t="shared" si="7"/>
        <v/>
      </c>
      <c r="CT36" s="20" t="str">
        <f t="shared" si="8"/>
        <v/>
      </c>
      <c r="CU36" s="21" t="str">
        <f t="shared" si="9"/>
        <v/>
      </c>
      <c r="CV36" s="20" t="str">
        <f t="shared" si="10"/>
        <v/>
      </c>
      <c r="CW36" s="19" t="str">
        <f t="shared" si="11"/>
        <v/>
      </c>
      <c r="CX36" s="20" t="str">
        <f t="shared" si="12"/>
        <v/>
      </c>
      <c r="CY36" s="22">
        <f t="shared" si="13"/>
        <v>0</v>
      </c>
      <c r="CZ36" s="22" t="e">
        <f t="shared" si="14"/>
        <v>#N/A</v>
      </c>
      <c r="DA36" s="8" t="e">
        <f t="shared" si="15"/>
        <v>#N/A</v>
      </c>
      <c r="DB36" s="7">
        <f t="shared" si="16"/>
        <v>0</v>
      </c>
      <c r="DC36" s="22" t="e">
        <f t="shared" si="17"/>
        <v>#N/A</v>
      </c>
      <c r="DD36" s="23" t="e">
        <f t="shared" si="18"/>
        <v>#N/A</v>
      </c>
      <c r="DF36" s="3">
        <v>30</v>
      </c>
      <c r="DG36" s="5" t="e">
        <f t="shared" ref="DG36:DN36" si="46">DG35</f>
        <v>#REF!</v>
      </c>
      <c r="DH36" s="5" t="e">
        <f t="shared" si="46"/>
        <v>#REF!</v>
      </c>
      <c r="DI36" s="5" t="e">
        <f t="shared" si="46"/>
        <v>#REF!</v>
      </c>
      <c r="DJ36" s="5" t="e">
        <f t="shared" si="46"/>
        <v>#REF!</v>
      </c>
      <c r="DK36" s="5" t="e">
        <f t="shared" si="46"/>
        <v>#REF!</v>
      </c>
      <c r="DL36" s="5" t="e">
        <f t="shared" si="46"/>
        <v>#REF!</v>
      </c>
      <c r="DM36" s="5" t="e">
        <f t="shared" si="46"/>
        <v>#REF!</v>
      </c>
      <c r="DN36" s="5" t="e">
        <f t="shared" si="46"/>
        <v>#REF!</v>
      </c>
    </row>
    <row r="37" spans="8:118" ht="15.75" customHeight="1" x14ac:dyDescent="0.25">
      <c r="H37" s="47"/>
      <c r="I37" s="61"/>
      <c r="J37" s="62" t="e">
        <f>ROUND((H37*menu!#REF!+data!I37*menu!#REF!)/100,0)</f>
        <v>#REF!</v>
      </c>
      <c r="K37" s="47"/>
      <c r="L37" s="61"/>
      <c r="M37" s="62" t="e">
        <f>ROUND((K37*menu!#REF!+data!L37*menu!#REF!)/100,0)</f>
        <v>#REF!</v>
      </c>
      <c r="N37" s="47"/>
      <c r="O37" s="61"/>
      <c r="P37" s="64" t="e">
        <f>ROUND((N37*menu!#REF!+data!O37*menu!#REF!)/100,0)</f>
        <v>#REF!</v>
      </c>
      <c r="Q37" s="47"/>
      <c r="R37" s="61"/>
      <c r="S37" s="62" t="e">
        <f>ROUND((Q37*menu!#REF!+data!R37*menu!#REF!)/100,0)</f>
        <v>#REF!</v>
      </c>
      <c r="T37" s="47"/>
      <c r="U37" s="61"/>
      <c r="V37" s="62" t="e">
        <f>ROUND((T37*menu!#REF!+data!U37*menu!#REF!)/100,0)</f>
        <v>#REF!</v>
      </c>
      <c r="W37" s="47"/>
      <c r="X37" s="61"/>
      <c r="Y37" s="62" t="e">
        <f>ROUND((W37*menu!#REF!+data!X37*menu!#REF!)/100,0)</f>
        <v>#REF!</v>
      </c>
      <c r="Z37" s="47"/>
      <c r="AA37" s="61"/>
      <c r="AB37" s="62" t="e">
        <f>ROUND((Z37*menu!#REF!+data!AA37*menu!#REF!)/100,0)</f>
        <v>#REF!</v>
      </c>
      <c r="AC37" s="61"/>
      <c r="AD37" s="61"/>
      <c r="AE37" s="62" t="e">
        <f>ROUND((AC37*menu!#REF!+data!AD37*menu!#REF!)/100,0)</f>
        <v>#REF!</v>
      </c>
      <c r="AF37" s="47"/>
      <c r="AG37" s="61"/>
      <c r="AH37" s="62" t="e">
        <f>ROUND((AF37*menu!#REF!+data!AG37*menu!#REF!)/100,0)</f>
        <v>#REF!</v>
      </c>
      <c r="AI37" s="47"/>
      <c r="AJ37" s="61"/>
      <c r="AK37" s="62" t="e">
        <f>ROUND((AI37*menu!#REF!+data!AJ37*menu!#REF!)/100,0)</f>
        <v>#REF!</v>
      </c>
      <c r="AL37" s="47"/>
      <c r="AM37" s="61"/>
      <c r="AN37" s="62" t="e">
        <f>ROUND((AL37*menu!#REF!+data!AM37*menu!#REF!)/100,0)</f>
        <v>#REF!</v>
      </c>
      <c r="AO37" s="47"/>
      <c r="AP37" s="61"/>
      <c r="AQ37" s="62" t="e">
        <f>ROUND((AO37*menu!#REF!+data!AP37*menu!#REF!)/100,0)</f>
        <v>#REF!</v>
      </c>
      <c r="AR37" s="47"/>
      <c r="AS37" s="61"/>
      <c r="AT37" s="62" t="e">
        <f>ROUND((AR37*menu!#REF!+data!AS37*menu!#REF!)/100,0)</f>
        <v>#REF!</v>
      </c>
      <c r="AU37" s="47"/>
      <c r="AV37" s="61"/>
      <c r="AW37" s="62" t="e">
        <f>ROUND((AU37*menu!#REF!+data!AV37*menu!#REF!)/100,0)</f>
        <v>#REF!</v>
      </c>
      <c r="AX37" s="47"/>
      <c r="AY37" s="61"/>
      <c r="AZ37" s="62" t="e">
        <f>ROUND((AX37*menu!#REF!+data!AY37*menu!#REF!)/100,0)</f>
        <v>#REF!</v>
      </c>
      <c r="BA37" s="47"/>
      <c r="BB37" s="61"/>
      <c r="BC37" s="62" t="e">
        <f>ROUND((BA37*menu!#REF!+data!BB37*menu!#REF!)/100,0)</f>
        <v>#REF!</v>
      </c>
      <c r="BD37" s="47"/>
      <c r="BE37" s="61"/>
      <c r="BF37" s="62" t="e">
        <f>ROUND((BD37*menu!#REF!+data!BE37*menu!#REF!)/100,0)</f>
        <v>#REF!</v>
      </c>
      <c r="BG37" s="57" t="str">
        <f>IFERROR("Ananda "&amp;PROPER(menu!B38)&amp;" kompeten dalam "&amp;data!DA37&amp;", namun perlu ditingkatkan dalam kompetensi "&amp;data!DD37,"")</f>
        <v/>
      </c>
      <c r="BH37" s="41" t="s">
        <v>73</v>
      </c>
      <c r="BI37" s="41" t="s">
        <v>73</v>
      </c>
      <c r="BJ37" s="41" t="s">
        <v>73</v>
      </c>
      <c r="BK37" s="41" t="s">
        <v>73</v>
      </c>
      <c r="BL37" s="58" t="s">
        <v>73</v>
      </c>
      <c r="BM37" s="58"/>
      <c r="BN37" s="59" t="s">
        <v>73</v>
      </c>
      <c r="BO37" s="59"/>
      <c r="BP37" s="58" t="s">
        <v>73</v>
      </c>
      <c r="BQ37" s="58"/>
      <c r="BR37" s="47" t="s">
        <v>73</v>
      </c>
      <c r="BS37" s="48" t="s">
        <v>73</v>
      </c>
      <c r="BT37" s="47" t="s">
        <v>73</v>
      </c>
      <c r="BU37" s="48"/>
      <c r="BV37" s="47"/>
      <c r="BW37" s="48"/>
      <c r="BX37" s="47"/>
      <c r="BY37" s="48"/>
      <c r="BZ37" s="58"/>
      <c r="CA37" s="58"/>
      <c r="CB37" s="41"/>
      <c r="CC37" s="41"/>
      <c r="CD37" s="58"/>
      <c r="CE37" s="58"/>
      <c r="CF37" s="60" t="str">
        <f t="shared" si="0"/>
        <v xml:space="preserve">Ananda Royan Siti Maftuhah menunjukkan perkembangan karakter yang  pada pembelajaran semester ini.   </v>
      </c>
      <c r="CG37" s="17" t="s">
        <v>10</v>
      </c>
      <c r="CH37" s="17"/>
      <c r="CI37" s="17"/>
      <c r="CK37" s="8" t="str">
        <f t="shared" si="1"/>
        <v/>
      </c>
      <c r="CL37" s="18" t="str">
        <f>"Ananda "&amp;PROPER(menu!B38)&amp;" menunjukkan perkembangan karakter yang "&amp;CK37&amp;" pada pembelajaran semester ini."</f>
        <v>Ananda Royan Siti Maftuhah menunjukkan perkembangan karakter yang  pada pembelajaran semester ini.</v>
      </c>
      <c r="CM37" s="18" t="str">
        <f t="shared" si="2"/>
        <v/>
      </c>
      <c r="CN37" s="18" t="str">
        <f t="shared" si="3"/>
        <v/>
      </c>
      <c r="CO37" s="18" t="str">
        <f t="shared" si="4"/>
        <v/>
      </c>
      <c r="CQ37" s="19" t="str">
        <f t="shared" si="5"/>
        <v/>
      </c>
      <c r="CR37" s="20" t="str">
        <f t="shared" si="6"/>
        <v/>
      </c>
      <c r="CS37" s="19" t="str">
        <f t="shared" si="7"/>
        <v/>
      </c>
      <c r="CT37" s="20" t="str">
        <f t="shared" si="8"/>
        <v/>
      </c>
      <c r="CU37" s="21" t="str">
        <f t="shared" si="9"/>
        <v/>
      </c>
      <c r="CV37" s="20" t="str">
        <f t="shared" si="10"/>
        <v/>
      </c>
      <c r="CW37" s="19" t="str">
        <f t="shared" si="11"/>
        <v/>
      </c>
      <c r="CX37" s="20" t="str">
        <f t="shared" si="12"/>
        <v/>
      </c>
      <c r="CY37" s="22">
        <f t="shared" si="13"/>
        <v>0</v>
      </c>
      <c r="CZ37" s="22" t="e">
        <f t="shared" si="14"/>
        <v>#N/A</v>
      </c>
      <c r="DA37" s="8" t="e">
        <f t="shared" si="15"/>
        <v>#N/A</v>
      </c>
      <c r="DB37" s="7">
        <f t="shared" si="16"/>
        <v>0</v>
      </c>
      <c r="DC37" s="22" t="e">
        <f t="shared" si="17"/>
        <v>#N/A</v>
      </c>
      <c r="DD37" s="23" t="e">
        <f t="shared" si="18"/>
        <v>#N/A</v>
      </c>
      <c r="DF37" s="3">
        <v>31</v>
      </c>
      <c r="DG37" s="5" t="e">
        <f t="shared" ref="DG37:DN37" si="47">DG36</f>
        <v>#REF!</v>
      </c>
      <c r="DH37" s="5" t="e">
        <f t="shared" si="47"/>
        <v>#REF!</v>
      </c>
      <c r="DI37" s="5" t="e">
        <f t="shared" si="47"/>
        <v>#REF!</v>
      </c>
      <c r="DJ37" s="5" t="e">
        <f t="shared" si="47"/>
        <v>#REF!</v>
      </c>
      <c r="DK37" s="5" t="e">
        <f t="shared" si="47"/>
        <v>#REF!</v>
      </c>
      <c r="DL37" s="5" t="e">
        <f t="shared" si="47"/>
        <v>#REF!</v>
      </c>
      <c r="DM37" s="5" t="e">
        <f t="shared" si="47"/>
        <v>#REF!</v>
      </c>
      <c r="DN37" s="5" t="e">
        <f t="shared" si="47"/>
        <v>#REF!</v>
      </c>
    </row>
    <row r="38" spans="8:118" ht="15.75" customHeight="1" x14ac:dyDescent="0.25">
      <c r="H38" s="47"/>
      <c r="I38" s="61"/>
      <c r="J38" s="62" t="e">
        <f>ROUND((H38*menu!#REF!+data!I38*menu!#REF!)/100,0)</f>
        <v>#REF!</v>
      </c>
      <c r="K38" s="47"/>
      <c r="L38" s="61"/>
      <c r="M38" s="62" t="e">
        <f>ROUND((K38*menu!#REF!+data!L38*menu!#REF!)/100,0)</f>
        <v>#REF!</v>
      </c>
      <c r="N38" s="47"/>
      <c r="O38" s="61"/>
      <c r="P38" s="64" t="e">
        <f>ROUND((N38*menu!#REF!+data!O38*menu!#REF!)/100,0)</f>
        <v>#REF!</v>
      </c>
      <c r="Q38" s="47"/>
      <c r="R38" s="61"/>
      <c r="S38" s="62" t="e">
        <f>ROUND((Q38*menu!#REF!+data!R38*menu!#REF!)/100,0)</f>
        <v>#REF!</v>
      </c>
      <c r="T38" s="47"/>
      <c r="U38" s="61"/>
      <c r="V38" s="62" t="e">
        <f>ROUND((T38*menu!#REF!+data!U38*menu!#REF!)/100,0)</f>
        <v>#REF!</v>
      </c>
      <c r="W38" s="47"/>
      <c r="X38" s="61"/>
      <c r="Y38" s="62" t="e">
        <f>ROUND((W38*menu!#REF!+data!X38*menu!#REF!)/100,0)</f>
        <v>#REF!</v>
      </c>
      <c r="Z38" s="47"/>
      <c r="AA38" s="61"/>
      <c r="AB38" s="62" t="e">
        <f>ROUND((Z38*menu!#REF!+data!AA38*menu!#REF!)/100,0)</f>
        <v>#REF!</v>
      </c>
      <c r="AC38" s="61"/>
      <c r="AD38" s="61"/>
      <c r="AE38" s="62" t="e">
        <f>ROUND((AC38*menu!#REF!+data!AD38*menu!#REF!)/100,0)</f>
        <v>#REF!</v>
      </c>
      <c r="AF38" s="47"/>
      <c r="AG38" s="61"/>
      <c r="AH38" s="62" t="e">
        <f>ROUND((AF38*menu!#REF!+data!AG38*menu!#REF!)/100,0)</f>
        <v>#REF!</v>
      </c>
      <c r="AI38" s="47"/>
      <c r="AJ38" s="61"/>
      <c r="AK38" s="62" t="e">
        <f>ROUND((AI38*menu!#REF!+data!AJ38*menu!#REF!)/100,0)</f>
        <v>#REF!</v>
      </c>
      <c r="AL38" s="47"/>
      <c r="AM38" s="61"/>
      <c r="AN38" s="62" t="e">
        <f>ROUND((AL38*menu!#REF!+data!AM38*menu!#REF!)/100,0)</f>
        <v>#REF!</v>
      </c>
      <c r="AO38" s="47"/>
      <c r="AP38" s="61"/>
      <c r="AQ38" s="62" t="e">
        <f>ROUND((AO38*menu!#REF!+data!AP38*menu!#REF!)/100,0)</f>
        <v>#REF!</v>
      </c>
      <c r="AR38" s="47"/>
      <c r="AS38" s="61"/>
      <c r="AT38" s="62" t="e">
        <f>ROUND((AR38*menu!#REF!+data!AS38*menu!#REF!)/100,0)</f>
        <v>#REF!</v>
      </c>
      <c r="AU38" s="47"/>
      <c r="AV38" s="61"/>
      <c r="AW38" s="62" t="e">
        <f>ROUND((AU38*menu!#REF!+data!AV38*menu!#REF!)/100,0)</f>
        <v>#REF!</v>
      </c>
      <c r="AX38" s="47"/>
      <c r="AY38" s="61"/>
      <c r="AZ38" s="62" t="e">
        <f>ROUND((AX38*menu!#REF!+data!AY38*menu!#REF!)/100,0)</f>
        <v>#REF!</v>
      </c>
      <c r="BA38" s="47"/>
      <c r="BB38" s="61"/>
      <c r="BC38" s="62" t="e">
        <f>ROUND((BA38*menu!#REF!+data!BB38*menu!#REF!)/100,0)</f>
        <v>#REF!</v>
      </c>
      <c r="BD38" s="47"/>
      <c r="BE38" s="61"/>
      <c r="BF38" s="62" t="e">
        <f>ROUND((BD38*menu!#REF!+data!BE38*menu!#REF!)/100,0)</f>
        <v>#REF!</v>
      </c>
      <c r="BG38" s="57" t="str">
        <f>IFERROR("Ananda "&amp;PROPER(menu!B39)&amp;" kompeten dalam "&amp;data!DA38&amp;", namun perlu ditingkatkan dalam kompetensi "&amp;data!DD38,"")</f>
        <v/>
      </c>
      <c r="BH38" s="41" t="s">
        <v>73</v>
      </c>
      <c r="BI38" s="41" t="s">
        <v>73</v>
      </c>
      <c r="BJ38" s="41" t="s">
        <v>73</v>
      </c>
      <c r="BK38" s="41" t="s">
        <v>73</v>
      </c>
      <c r="BL38" s="58" t="s">
        <v>73</v>
      </c>
      <c r="BM38" s="58"/>
      <c r="BN38" s="59" t="s">
        <v>73</v>
      </c>
      <c r="BO38" s="59"/>
      <c r="BP38" s="58" t="s">
        <v>73</v>
      </c>
      <c r="BQ38" s="58"/>
      <c r="BR38" s="47" t="s">
        <v>73</v>
      </c>
      <c r="BS38" s="48" t="s">
        <v>73</v>
      </c>
      <c r="BT38" s="47" t="s">
        <v>73</v>
      </c>
      <c r="BU38" s="48"/>
      <c r="BV38" s="47"/>
      <c r="BW38" s="48"/>
      <c r="BX38" s="47"/>
      <c r="BY38" s="48"/>
      <c r="BZ38" s="58"/>
      <c r="CA38" s="58"/>
      <c r="CB38" s="41"/>
      <c r="CC38" s="41"/>
      <c r="CD38" s="58"/>
      <c r="CE38" s="58"/>
      <c r="CF38" s="60" t="str">
        <f t="shared" si="0"/>
        <v xml:space="preserve">Ananda Sabrina Faradiba Setiawan menunjukkan perkembangan karakter yang  pada pembelajaran semester ini.   </v>
      </c>
      <c r="CG38" s="17" t="s">
        <v>10</v>
      </c>
      <c r="CH38" s="17"/>
      <c r="CI38" s="17"/>
      <c r="CK38" s="8" t="str">
        <f t="shared" si="1"/>
        <v/>
      </c>
      <c r="CL38" s="18" t="str">
        <f>"Ananda "&amp;PROPER(menu!B39)&amp;" menunjukkan perkembangan karakter yang "&amp;CK38&amp;" pada pembelajaran semester ini."</f>
        <v>Ananda Sabrina Faradiba Setiawan menunjukkan perkembangan karakter yang  pada pembelajaran semester ini.</v>
      </c>
      <c r="CM38" s="18" t="str">
        <f t="shared" si="2"/>
        <v/>
      </c>
      <c r="CN38" s="18" t="str">
        <f t="shared" si="3"/>
        <v/>
      </c>
      <c r="CO38" s="18" t="str">
        <f t="shared" si="4"/>
        <v/>
      </c>
      <c r="CQ38" s="19" t="str">
        <f t="shared" si="5"/>
        <v/>
      </c>
      <c r="CR38" s="20" t="str">
        <f t="shared" si="6"/>
        <v/>
      </c>
      <c r="CS38" s="19" t="str">
        <f t="shared" si="7"/>
        <v/>
      </c>
      <c r="CT38" s="20" t="str">
        <f t="shared" si="8"/>
        <v/>
      </c>
      <c r="CU38" s="21" t="str">
        <f t="shared" si="9"/>
        <v/>
      </c>
      <c r="CV38" s="20" t="str">
        <f t="shared" si="10"/>
        <v/>
      </c>
      <c r="CW38" s="19" t="str">
        <f t="shared" si="11"/>
        <v/>
      </c>
      <c r="CX38" s="20" t="str">
        <f t="shared" si="12"/>
        <v/>
      </c>
      <c r="CY38" s="22">
        <f t="shared" si="13"/>
        <v>0</v>
      </c>
      <c r="CZ38" s="22" t="e">
        <f t="shared" si="14"/>
        <v>#N/A</v>
      </c>
      <c r="DA38" s="8" t="e">
        <f t="shared" si="15"/>
        <v>#N/A</v>
      </c>
      <c r="DB38" s="7">
        <f t="shared" si="16"/>
        <v>0</v>
      </c>
      <c r="DC38" s="22" t="e">
        <f t="shared" si="17"/>
        <v>#N/A</v>
      </c>
      <c r="DD38" s="23" t="e">
        <f t="shared" si="18"/>
        <v>#N/A</v>
      </c>
      <c r="DF38" s="3">
        <v>32</v>
      </c>
      <c r="DG38" s="5" t="e">
        <f t="shared" ref="DG38:DN38" si="48">DG37</f>
        <v>#REF!</v>
      </c>
      <c r="DH38" s="5" t="e">
        <f t="shared" si="48"/>
        <v>#REF!</v>
      </c>
      <c r="DI38" s="5" t="e">
        <f t="shared" si="48"/>
        <v>#REF!</v>
      </c>
      <c r="DJ38" s="5" t="e">
        <f t="shared" si="48"/>
        <v>#REF!</v>
      </c>
      <c r="DK38" s="5" t="e">
        <f t="shared" si="48"/>
        <v>#REF!</v>
      </c>
      <c r="DL38" s="5" t="e">
        <f t="shared" si="48"/>
        <v>#REF!</v>
      </c>
      <c r="DM38" s="5" t="e">
        <f t="shared" si="48"/>
        <v>#REF!</v>
      </c>
      <c r="DN38" s="5" t="e">
        <f t="shared" si="48"/>
        <v>#REF!</v>
      </c>
    </row>
    <row r="39" spans="8:118" ht="15.75" customHeight="1" x14ac:dyDescent="0.25">
      <c r="H39" s="47"/>
      <c r="I39" s="61"/>
      <c r="J39" s="62" t="e">
        <f>ROUND((H39*menu!#REF!+data!I39*menu!#REF!)/100,0)</f>
        <v>#REF!</v>
      </c>
      <c r="K39" s="47"/>
      <c r="L39" s="61"/>
      <c r="M39" s="62" t="e">
        <f>ROUND((K39*menu!#REF!+data!L39*menu!#REF!)/100,0)</f>
        <v>#REF!</v>
      </c>
      <c r="N39" s="47"/>
      <c r="O39" s="61"/>
      <c r="P39" s="64" t="e">
        <f>ROUND((N39*menu!#REF!+data!O39*menu!#REF!)/100,0)</f>
        <v>#REF!</v>
      </c>
      <c r="Q39" s="47"/>
      <c r="R39" s="61"/>
      <c r="S39" s="62" t="e">
        <f>ROUND((Q39*menu!#REF!+data!R39*menu!#REF!)/100,0)</f>
        <v>#REF!</v>
      </c>
      <c r="T39" s="47"/>
      <c r="U39" s="61"/>
      <c r="V39" s="62" t="e">
        <f>ROUND((T39*menu!#REF!+data!U39*menu!#REF!)/100,0)</f>
        <v>#REF!</v>
      </c>
      <c r="W39" s="47"/>
      <c r="X39" s="61"/>
      <c r="Y39" s="62" t="e">
        <f>ROUND((W39*menu!#REF!+data!X39*menu!#REF!)/100,0)</f>
        <v>#REF!</v>
      </c>
      <c r="Z39" s="47"/>
      <c r="AA39" s="61"/>
      <c r="AB39" s="62" t="e">
        <f>ROUND((Z39*menu!#REF!+data!AA39*menu!#REF!)/100,0)</f>
        <v>#REF!</v>
      </c>
      <c r="AC39" s="61"/>
      <c r="AD39" s="61"/>
      <c r="AE39" s="62" t="e">
        <f>ROUND((AC39*menu!#REF!+data!AD39*menu!#REF!)/100,0)</f>
        <v>#REF!</v>
      </c>
      <c r="AF39" s="47"/>
      <c r="AG39" s="61"/>
      <c r="AH39" s="62" t="e">
        <f>ROUND((AF39*menu!#REF!+data!AG39*menu!#REF!)/100,0)</f>
        <v>#REF!</v>
      </c>
      <c r="AI39" s="47"/>
      <c r="AJ39" s="61"/>
      <c r="AK39" s="62" t="e">
        <f>ROUND((AI39*menu!#REF!+data!AJ39*menu!#REF!)/100,0)</f>
        <v>#REF!</v>
      </c>
      <c r="AL39" s="47"/>
      <c r="AM39" s="61"/>
      <c r="AN39" s="62" t="e">
        <f>ROUND((AL39*menu!#REF!+data!AM39*menu!#REF!)/100,0)</f>
        <v>#REF!</v>
      </c>
      <c r="AO39" s="47"/>
      <c r="AP39" s="61"/>
      <c r="AQ39" s="62" t="e">
        <f>ROUND((AO39*menu!#REF!+data!AP39*menu!#REF!)/100,0)</f>
        <v>#REF!</v>
      </c>
      <c r="AR39" s="47"/>
      <c r="AS39" s="61"/>
      <c r="AT39" s="62" t="e">
        <f>ROUND((AR39*menu!#REF!+data!AS39*menu!#REF!)/100,0)</f>
        <v>#REF!</v>
      </c>
      <c r="AU39" s="47"/>
      <c r="AV39" s="61"/>
      <c r="AW39" s="62" t="e">
        <f>ROUND((AU39*menu!#REF!+data!AV39*menu!#REF!)/100,0)</f>
        <v>#REF!</v>
      </c>
      <c r="AX39" s="47"/>
      <c r="AY39" s="61"/>
      <c r="AZ39" s="62" t="e">
        <f>ROUND((AX39*menu!#REF!+data!AY39*menu!#REF!)/100,0)</f>
        <v>#REF!</v>
      </c>
      <c r="BA39" s="47"/>
      <c r="BB39" s="61"/>
      <c r="BC39" s="62" t="e">
        <f>ROUND((BA39*menu!#REF!+data!BB39*menu!#REF!)/100,0)</f>
        <v>#REF!</v>
      </c>
      <c r="BD39" s="47"/>
      <c r="BE39" s="61"/>
      <c r="BF39" s="62" t="e">
        <f>ROUND((BD39*menu!#REF!+data!BE39*menu!#REF!)/100,0)</f>
        <v>#REF!</v>
      </c>
      <c r="BG39" s="57" t="str">
        <f>IFERROR("Ananda "&amp;PROPER(menu!B40)&amp;" kompeten dalam "&amp;data!DA39&amp;", namun perlu ditingkatkan dalam kompetensi "&amp;data!DD39,"")</f>
        <v/>
      </c>
      <c r="BH39" s="41" t="s">
        <v>73</v>
      </c>
      <c r="BI39" s="41" t="s">
        <v>73</v>
      </c>
      <c r="BJ39" s="41" t="s">
        <v>73</v>
      </c>
      <c r="BK39" s="41" t="s">
        <v>73</v>
      </c>
      <c r="BL39" s="58" t="s">
        <v>73</v>
      </c>
      <c r="BM39" s="58"/>
      <c r="BN39" s="59" t="s">
        <v>73</v>
      </c>
      <c r="BO39" s="59"/>
      <c r="BP39" s="58" t="s">
        <v>73</v>
      </c>
      <c r="BQ39" s="58"/>
      <c r="BR39" s="47" t="s">
        <v>73</v>
      </c>
      <c r="BS39" s="48" t="s">
        <v>73</v>
      </c>
      <c r="BT39" s="47" t="s">
        <v>73</v>
      </c>
      <c r="BU39" s="48"/>
      <c r="BV39" s="47"/>
      <c r="BW39" s="48"/>
      <c r="BX39" s="47"/>
      <c r="BY39" s="48"/>
      <c r="BZ39" s="58"/>
      <c r="CA39" s="58"/>
      <c r="CB39" s="41"/>
      <c r="CC39" s="41"/>
      <c r="CD39" s="58"/>
      <c r="CE39" s="58"/>
      <c r="CF39" s="60" t="str">
        <f t="shared" si="0"/>
        <v xml:space="preserve">Ananda Shifa Khoirunnisa menunjukkan perkembangan karakter yang  pada pembelajaran semester ini.   </v>
      </c>
      <c r="CG39" s="17" t="s">
        <v>10</v>
      </c>
      <c r="CH39" s="17"/>
      <c r="CI39" s="17"/>
      <c r="CK39" s="8" t="str">
        <f t="shared" si="1"/>
        <v/>
      </c>
      <c r="CL39" s="18" t="str">
        <f>"Ananda "&amp;PROPER(menu!B40)&amp;" menunjukkan perkembangan karakter yang "&amp;CK39&amp;" pada pembelajaran semester ini."</f>
        <v>Ananda Shifa Khoirunnisa menunjukkan perkembangan karakter yang  pada pembelajaran semester ini.</v>
      </c>
      <c r="CM39" s="18" t="str">
        <f t="shared" si="2"/>
        <v/>
      </c>
      <c r="CN39" s="18" t="str">
        <f t="shared" si="3"/>
        <v/>
      </c>
      <c r="CO39" s="18" t="str">
        <f t="shared" si="4"/>
        <v/>
      </c>
      <c r="CQ39" s="19" t="str">
        <f t="shared" si="5"/>
        <v/>
      </c>
      <c r="CR39" s="20" t="str">
        <f t="shared" si="6"/>
        <v/>
      </c>
      <c r="CS39" s="19" t="str">
        <f t="shared" si="7"/>
        <v/>
      </c>
      <c r="CT39" s="20" t="str">
        <f t="shared" si="8"/>
        <v/>
      </c>
      <c r="CU39" s="21" t="str">
        <f t="shared" si="9"/>
        <v/>
      </c>
      <c r="CV39" s="20" t="str">
        <f t="shared" si="10"/>
        <v/>
      </c>
      <c r="CW39" s="19" t="str">
        <f t="shared" si="11"/>
        <v/>
      </c>
      <c r="CX39" s="20" t="str">
        <f t="shared" si="12"/>
        <v/>
      </c>
      <c r="CY39" s="22">
        <f t="shared" si="13"/>
        <v>0</v>
      </c>
      <c r="CZ39" s="22" t="e">
        <f t="shared" si="14"/>
        <v>#N/A</v>
      </c>
      <c r="DA39" s="8" t="e">
        <f t="shared" si="15"/>
        <v>#N/A</v>
      </c>
      <c r="DB39" s="7">
        <f t="shared" si="16"/>
        <v>0</v>
      </c>
      <c r="DC39" s="22" t="e">
        <f t="shared" si="17"/>
        <v>#N/A</v>
      </c>
      <c r="DD39" s="23" t="e">
        <f t="shared" si="18"/>
        <v>#N/A</v>
      </c>
      <c r="DF39" s="3">
        <v>33</v>
      </c>
      <c r="DG39" s="5" t="e">
        <f t="shared" ref="DG39:DN39" si="49">DG38</f>
        <v>#REF!</v>
      </c>
      <c r="DH39" s="5" t="e">
        <f t="shared" si="49"/>
        <v>#REF!</v>
      </c>
      <c r="DI39" s="5" t="e">
        <f t="shared" si="49"/>
        <v>#REF!</v>
      </c>
      <c r="DJ39" s="5" t="e">
        <f t="shared" si="49"/>
        <v>#REF!</v>
      </c>
      <c r="DK39" s="5" t="e">
        <f t="shared" si="49"/>
        <v>#REF!</v>
      </c>
      <c r="DL39" s="5" t="e">
        <f t="shared" si="49"/>
        <v>#REF!</v>
      </c>
      <c r="DM39" s="5" t="e">
        <f t="shared" si="49"/>
        <v>#REF!</v>
      </c>
      <c r="DN39" s="5" t="e">
        <f t="shared" si="49"/>
        <v>#REF!</v>
      </c>
    </row>
    <row r="40" spans="8:118" ht="15.75" customHeight="1" x14ac:dyDescent="0.25">
      <c r="H40" s="47"/>
      <c r="I40" s="61"/>
      <c r="J40" s="62" t="e">
        <f>ROUND((H40*menu!#REF!+data!I40*menu!#REF!)/100,0)</f>
        <v>#REF!</v>
      </c>
      <c r="K40" s="47"/>
      <c r="L40" s="61"/>
      <c r="M40" s="62" t="e">
        <f>ROUND((K40*menu!#REF!+data!L40*menu!#REF!)/100,0)</f>
        <v>#REF!</v>
      </c>
      <c r="N40" s="47"/>
      <c r="O40" s="61"/>
      <c r="P40" s="64" t="e">
        <f>ROUND((N40*menu!#REF!+data!O40*menu!#REF!)/100,0)</f>
        <v>#REF!</v>
      </c>
      <c r="Q40" s="47"/>
      <c r="R40" s="61"/>
      <c r="S40" s="62" t="e">
        <f>ROUND((Q40*menu!#REF!+data!R40*menu!#REF!)/100,0)</f>
        <v>#REF!</v>
      </c>
      <c r="T40" s="47"/>
      <c r="U40" s="61"/>
      <c r="V40" s="62" t="e">
        <f>ROUND((T40*menu!#REF!+data!U40*menu!#REF!)/100,0)</f>
        <v>#REF!</v>
      </c>
      <c r="W40" s="47"/>
      <c r="X40" s="61"/>
      <c r="Y40" s="62" t="e">
        <f>ROUND((W40*menu!#REF!+data!X40*menu!#REF!)/100,0)</f>
        <v>#REF!</v>
      </c>
      <c r="Z40" s="47"/>
      <c r="AA40" s="61"/>
      <c r="AB40" s="62" t="e">
        <f>ROUND((Z40*menu!#REF!+data!AA40*menu!#REF!)/100,0)</f>
        <v>#REF!</v>
      </c>
      <c r="AC40" s="61"/>
      <c r="AD40" s="61"/>
      <c r="AE40" s="62" t="e">
        <f>ROUND((AC40*menu!#REF!+data!AD40*menu!#REF!)/100,0)</f>
        <v>#REF!</v>
      </c>
      <c r="AF40" s="47"/>
      <c r="AG40" s="61"/>
      <c r="AH40" s="62" t="e">
        <f>ROUND((AF40*menu!#REF!+data!AG40*menu!#REF!)/100,0)</f>
        <v>#REF!</v>
      </c>
      <c r="AI40" s="47"/>
      <c r="AJ40" s="61"/>
      <c r="AK40" s="62" t="e">
        <f>ROUND((AI40*menu!#REF!+data!AJ40*menu!#REF!)/100,0)</f>
        <v>#REF!</v>
      </c>
      <c r="AL40" s="47"/>
      <c r="AM40" s="61"/>
      <c r="AN40" s="62" t="e">
        <f>ROUND((AL40*menu!#REF!+data!AM40*menu!#REF!)/100,0)</f>
        <v>#REF!</v>
      </c>
      <c r="AO40" s="47"/>
      <c r="AP40" s="61"/>
      <c r="AQ40" s="62" t="e">
        <f>ROUND((AO40*menu!#REF!+data!AP40*menu!#REF!)/100,0)</f>
        <v>#REF!</v>
      </c>
      <c r="AR40" s="47"/>
      <c r="AS40" s="61"/>
      <c r="AT40" s="62" t="e">
        <f>ROUND((AR40*menu!#REF!+data!AS40*menu!#REF!)/100,0)</f>
        <v>#REF!</v>
      </c>
      <c r="AU40" s="47"/>
      <c r="AV40" s="61"/>
      <c r="AW40" s="62" t="e">
        <f>ROUND((AU40*menu!#REF!+data!AV40*menu!#REF!)/100,0)</f>
        <v>#REF!</v>
      </c>
      <c r="AX40" s="47"/>
      <c r="AY40" s="61"/>
      <c r="AZ40" s="62" t="e">
        <f>ROUND((AX40*menu!#REF!+data!AY40*menu!#REF!)/100,0)</f>
        <v>#REF!</v>
      </c>
      <c r="BA40" s="47"/>
      <c r="BB40" s="61"/>
      <c r="BC40" s="62" t="e">
        <f>ROUND((BA40*menu!#REF!+data!BB40*menu!#REF!)/100,0)</f>
        <v>#REF!</v>
      </c>
      <c r="BD40" s="47"/>
      <c r="BE40" s="61"/>
      <c r="BF40" s="62" t="e">
        <f>ROUND((BD40*menu!#REF!+data!BE40*menu!#REF!)/100,0)</f>
        <v>#REF!</v>
      </c>
      <c r="BG40" s="57" t="str">
        <f>IFERROR("Ananda "&amp;PROPER(menu!B41)&amp;" kompeten dalam "&amp;data!DA40&amp;", namun perlu ditingkatkan dalam kompetensi "&amp;data!DD40,"")</f>
        <v/>
      </c>
      <c r="BH40" s="41" t="s">
        <v>73</v>
      </c>
      <c r="BI40" s="41" t="s">
        <v>73</v>
      </c>
      <c r="BJ40" s="41" t="s">
        <v>73</v>
      </c>
      <c r="BK40" s="41" t="s">
        <v>73</v>
      </c>
      <c r="BL40" s="58" t="s">
        <v>73</v>
      </c>
      <c r="BM40" s="58"/>
      <c r="BN40" s="59" t="s">
        <v>73</v>
      </c>
      <c r="BO40" s="59"/>
      <c r="BP40" s="58" t="s">
        <v>73</v>
      </c>
      <c r="BQ40" s="58"/>
      <c r="BR40" s="47" t="s">
        <v>73</v>
      </c>
      <c r="BS40" s="48" t="s">
        <v>73</v>
      </c>
      <c r="BT40" s="47" t="s">
        <v>73</v>
      </c>
      <c r="BU40" s="48"/>
      <c r="BV40" s="47"/>
      <c r="BW40" s="48"/>
      <c r="BX40" s="47"/>
      <c r="BY40" s="48"/>
      <c r="BZ40" s="58"/>
      <c r="CA40" s="58"/>
      <c r="CB40" s="41"/>
      <c r="CC40" s="41"/>
      <c r="CD40" s="58"/>
      <c r="CE40" s="58"/>
      <c r="CF40" s="60" t="str">
        <f t="shared" si="0"/>
        <v xml:space="preserve">Ananda Ulfiyana 'Ainurahmawati menunjukkan perkembangan karakter yang  pada pembelajaran semester ini.   </v>
      </c>
      <c r="CG40" s="17" t="s">
        <v>10</v>
      </c>
      <c r="CH40" s="17"/>
      <c r="CI40" s="17"/>
      <c r="CK40" s="8" t="str">
        <f t="shared" si="1"/>
        <v/>
      </c>
      <c r="CL40" s="18" t="str">
        <f>"Ananda "&amp;PROPER(menu!B41)&amp;" menunjukkan perkembangan karakter yang "&amp;CK40&amp;" pada pembelajaran semester ini."</f>
        <v>Ananda Ulfiyana 'Ainurahmawati menunjukkan perkembangan karakter yang  pada pembelajaran semester ini.</v>
      </c>
      <c r="CM40" s="18" t="str">
        <f t="shared" si="2"/>
        <v/>
      </c>
      <c r="CN40" s="18" t="str">
        <f t="shared" si="3"/>
        <v/>
      </c>
      <c r="CO40" s="18" t="str">
        <f t="shared" si="4"/>
        <v/>
      </c>
      <c r="CQ40" s="19" t="str">
        <f t="shared" si="5"/>
        <v/>
      </c>
      <c r="CR40" s="20" t="str">
        <f t="shared" si="6"/>
        <v/>
      </c>
      <c r="CS40" s="19" t="str">
        <f t="shared" si="7"/>
        <v/>
      </c>
      <c r="CT40" s="20" t="str">
        <f t="shared" si="8"/>
        <v/>
      </c>
      <c r="CU40" s="21" t="str">
        <f t="shared" si="9"/>
        <v/>
      </c>
      <c r="CV40" s="20" t="str">
        <f t="shared" si="10"/>
        <v/>
      </c>
      <c r="CW40" s="19" t="str">
        <f t="shared" si="11"/>
        <v/>
      </c>
      <c r="CX40" s="20" t="str">
        <f t="shared" si="12"/>
        <v/>
      </c>
      <c r="CY40" s="22">
        <f t="shared" si="13"/>
        <v>0</v>
      </c>
      <c r="CZ40" s="22" t="e">
        <f t="shared" si="14"/>
        <v>#N/A</v>
      </c>
      <c r="DA40" s="8" t="e">
        <f t="shared" si="15"/>
        <v>#N/A</v>
      </c>
      <c r="DB40" s="7">
        <f t="shared" si="16"/>
        <v>0</v>
      </c>
      <c r="DC40" s="22" t="e">
        <f t="shared" si="17"/>
        <v>#N/A</v>
      </c>
      <c r="DD40" s="23" t="e">
        <f t="shared" si="18"/>
        <v>#N/A</v>
      </c>
      <c r="DF40" s="3">
        <v>34</v>
      </c>
      <c r="DG40" s="5" t="e">
        <f t="shared" ref="DG40:DN40" si="50">DG39</f>
        <v>#REF!</v>
      </c>
      <c r="DH40" s="5" t="e">
        <f t="shared" si="50"/>
        <v>#REF!</v>
      </c>
      <c r="DI40" s="5" t="e">
        <f t="shared" si="50"/>
        <v>#REF!</v>
      </c>
      <c r="DJ40" s="5" t="e">
        <f t="shared" si="50"/>
        <v>#REF!</v>
      </c>
      <c r="DK40" s="5" t="e">
        <f t="shared" si="50"/>
        <v>#REF!</v>
      </c>
      <c r="DL40" s="5" t="e">
        <f t="shared" si="50"/>
        <v>#REF!</v>
      </c>
      <c r="DM40" s="5" t="e">
        <f t="shared" si="50"/>
        <v>#REF!</v>
      </c>
      <c r="DN40" s="5" t="e">
        <f t="shared" si="50"/>
        <v>#REF!</v>
      </c>
    </row>
    <row r="41" spans="8:118" ht="15.75" customHeight="1" x14ac:dyDescent="0.25">
      <c r="H41" s="47"/>
      <c r="I41" s="61"/>
      <c r="J41" s="62" t="e">
        <f>ROUND((H41*menu!#REF!+data!I41*menu!#REF!)/100,0)</f>
        <v>#REF!</v>
      </c>
      <c r="K41" s="47"/>
      <c r="L41" s="61"/>
      <c r="M41" s="62" t="e">
        <f>ROUND((K41*menu!#REF!+data!L41*menu!#REF!)/100,0)</f>
        <v>#REF!</v>
      </c>
      <c r="N41" s="47"/>
      <c r="O41" s="61"/>
      <c r="P41" s="64" t="e">
        <f>ROUND((N41*menu!#REF!+data!O41*menu!#REF!)/100,0)</f>
        <v>#REF!</v>
      </c>
      <c r="Q41" s="47"/>
      <c r="R41" s="61"/>
      <c r="S41" s="62" t="e">
        <f>ROUND((Q41*menu!#REF!+data!R41*menu!#REF!)/100,0)</f>
        <v>#REF!</v>
      </c>
      <c r="T41" s="47"/>
      <c r="U41" s="61"/>
      <c r="V41" s="62" t="e">
        <f>ROUND((T41*menu!#REF!+data!U41*menu!#REF!)/100,0)</f>
        <v>#REF!</v>
      </c>
      <c r="W41" s="47"/>
      <c r="X41" s="61"/>
      <c r="Y41" s="62" t="e">
        <f>ROUND((W41*menu!#REF!+data!X41*menu!#REF!)/100,0)</f>
        <v>#REF!</v>
      </c>
      <c r="Z41" s="47"/>
      <c r="AA41" s="61"/>
      <c r="AB41" s="62" t="e">
        <f>ROUND((Z41*menu!#REF!+data!AA41*menu!#REF!)/100,0)</f>
        <v>#REF!</v>
      </c>
      <c r="AC41" s="61"/>
      <c r="AD41" s="61"/>
      <c r="AE41" s="62" t="e">
        <f>ROUND((AC41*menu!#REF!+data!AD41*menu!#REF!)/100,0)</f>
        <v>#REF!</v>
      </c>
      <c r="AF41" s="47"/>
      <c r="AG41" s="61"/>
      <c r="AH41" s="62" t="e">
        <f>ROUND((AF41*menu!#REF!+data!AG41*menu!#REF!)/100,0)</f>
        <v>#REF!</v>
      </c>
      <c r="AI41" s="47"/>
      <c r="AJ41" s="61"/>
      <c r="AK41" s="62" t="e">
        <f>ROUND((AI41*menu!#REF!+data!AJ41*menu!#REF!)/100,0)</f>
        <v>#REF!</v>
      </c>
      <c r="AL41" s="47"/>
      <c r="AM41" s="61"/>
      <c r="AN41" s="62" t="e">
        <f>ROUND((AL41*menu!#REF!+data!AM41*menu!#REF!)/100,0)</f>
        <v>#REF!</v>
      </c>
      <c r="AO41" s="47"/>
      <c r="AP41" s="61"/>
      <c r="AQ41" s="62" t="e">
        <f>ROUND((AO41*menu!#REF!+data!AP41*menu!#REF!)/100,0)</f>
        <v>#REF!</v>
      </c>
      <c r="AR41" s="47"/>
      <c r="AS41" s="61"/>
      <c r="AT41" s="62" t="e">
        <f>ROUND((AR41*menu!#REF!+data!AS41*menu!#REF!)/100,0)</f>
        <v>#REF!</v>
      </c>
      <c r="AU41" s="47"/>
      <c r="AV41" s="61"/>
      <c r="AW41" s="62" t="e">
        <f>ROUND((AU41*menu!#REF!+data!AV41*menu!#REF!)/100,0)</f>
        <v>#REF!</v>
      </c>
      <c r="AX41" s="47"/>
      <c r="AY41" s="61"/>
      <c r="AZ41" s="62" t="e">
        <f>ROUND((AX41*menu!#REF!+data!AY41*menu!#REF!)/100,0)</f>
        <v>#REF!</v>
      </c>
      <c r="BA41" s="47"/>
      <c r="BB41" s="61"/>
      <c r="BC41" s="62" t="e">
        <f>ROUND((BA41*menu!#REF!+data!BB41*menu!#REF!)/100,0)</f>
        <v>#REF!</v>
      </c>
      <c r="BD41" s="47"/>
      <c r="BE41" s="61"/>
      <c r="BF41" s="62" t="e">
        <f>ROUND((BD41*menu!#REF!+data!BE41*menu!#REF!)/100,0)</f>
        <v>#REF!</v>
      </c>
      <c r="BG41" s="57" t="str">
        <f>IFERROR("Ananda "&amp;PROPER(menu!B42)&amp;" kompeten dalam "&amp;data!DA41&amp;", namun perlu ditingkatkan dalam kompetensi "&amp;data!DD41,"")</f>
        <v/>
      </c>
      <c r="BH41" s="41" t="s">
        <v>73</v>
      </c>
      <c r="BI41" s="41" t="s">
        <v>73</v>
      </c>
      <c r="BJ41" s="41" t="s">
        <v>73</v>
      </c>
      <c r="BK41" s="41" t="s">
        <v>73</v>
      </c>
      <c r="BL41" s="58" t="s">
        <v>73</v>
      </c>
      <c r="BM41" s="58"/>
      <c r="BN41" s="59" t="s">
        <v>73</v>
      </c>
      <c r="BO41" s="59"/>
      <c r="BP41" s="58" t="s">
        <v>73</v>
      </c>
      <c r="BQ41" s="58"/>
      <c r="BR41" s="47" t="s">
        <v>73</v>
      </c>
      <c r="BS41" s="48" t="s">
        <v>73</v>
      </c>
      <c r="BT41" s="47" t="s">
        <v>73</v>
      </c>
      <c r="BU41" s="48"/>
      <c r="BV41" s="47"/>
      <c r="BW41" s="48"/>
      <c r="BX41" s="47"/>
      <c r="BY41" s="48"/>
      <c r="BZ41" s="58"/>
      <c r="CA41" s="58"/>
      <c r="CB41" s="41"/>
      <c r="CC41" s="41"/>
      <c r="CD41" s="58"/>
      <c r="CE41" s="58"/>
      <c r="CF41" s="60" t="str">
        <f t="shared" si="0"/>
        <v xml:space="preserve">Ananda Usman Maulana menunjukkan perkembangan karakter yang  pada pembelajaran semester ini.   </v>
      </c>
      <c r="CG41" s="17" t="s">
        <v>10</v>
      </c>
      <c r="CH41" s="17"/>
      <c r="CI41" s="17"/>
      <c r="CK41" s="8" t="str">
        <f t="shared" si="1"/>
        <v/>
      </c>
      <c r="CL41" s="18" t="str">
        <f>"Ananda "&amp;PROPER(menu!B42)&amp;" menunjukkan perkembangan karakter yang "&amp;CK41&amp;" pada pembelajaran semester ini."</f>
        <v>Ananda Usman Maulana menunjukkan perkembangan karakter yang  pada pembelajaran semester ini.</v>
      </c>
      <c r="CM41" s="18" t="str">
        <f t="shared" si="2"/>
        <v/>
      </c>
      <c r="CN41" s="18" t="str">
        <f t="shared" si="3"/>
        <v/>
      </c>
      <c r="CO41" s="18" t="str">
        <f t="shared" si="4"/>
        <v/>
      </c>
      <c r="CQ41" s="19" t="str">
        <f t="shared" si="5"/>
        <v/>
      </c>
      <c r="CR41" s="20" t="str">
        <f t="shared" si="6"/>
        <v/>
      </c>
      <c r="CS41" s="19" t="str">
        <f t="shared" si="7"/>
        <v/>
      </c>
      <c r="CT41" s="20" t="str">
        <f t="shared" si="8"/>
        <v/>
      </c>
      <c r="CU41" s="19" t="str">
        <f t="shared" si="9"/>
        <v/>
      </c>
      <c r="CV41" s="20" t="str">
        <f t="shared" si="10"/>
        <v/>
      </c>
      <c r="CW41" s="19" t="str">
        <f t="shared" si="11"/>
        <v/>
      </c>
      <c r="CX41" s="20" t="str">
        <f t="shared" si="12"/>
        <v/>
      </c>
      <c r="CY41" s="22">
        <f t="shared" si="13"/>
        <v>0</v>
      </c>
      <c r="CZ41" s="22" t="e">
        <f t="shared" si="14"/>
        <v>#N/A</v>
      </c>
      <c r="DA41" s="8" t="e">
        <f t="shared" si="15"/>
        <v>#N/A</v>
      </c>
      <c r="DB41" s="7">
        <f t="shared" si="16"/>
        <v>0</v>
      </c>
      <c r="DC41" s="22" t="e">
        <f t="shared" si="17"/>
        <v>#N/A</v>
      </c>
      <c r="DD41" s="23" t="e">
        <f t="shared" si="18"/>
        <v>#N/A</v>
      </c>
      <c r="DF41" s="3">
        <v>35</v>
      </c>
      <c r="DG41" s="5" t="e">
        <f t="shared" ref="DG41:DN41" si="51">DG40</f>
        <v>#REF!</v>
      </c>
      <c r="DH41" s="5" t="e">
        <f t="shared" si="51"/>
        <v>#REF!</v>
      </c>
      <c r="DI41" s="5" t="e">
        <f t="shared" si="51"/>
        <v>#REF!</v>
      </c>
      <c r="DJ41" s="5" t="e">
        <f t="shared" si="51"/>
        <v>#REF!</v>
      </c>
      <c r="DK41" s="5" t="e">
        <f t="shared" si="51"/>
        <v>#REF!</v>
      </c>
      <c r="DL41" s="5" t="e">
        <f t="shared" si="51"/>
        <v>#REF!</v>
      </c>
      <c r="DM41" s="5" t="e">
        <f t="shared" si="51"/>
        <v>#REF!</v>
      </c>
      <c r="DN41" s="5" t="e">
        <f t="shared" si="51"/>
        <v>#REF!</v>
      </c>
    </row>
    <row r="42" spans="8:118" ht="15.75" customHeight="1" x14ac:dyDescent="0.25">
      <c r="H42" s="47"/>
      <c r="I42" s="61"/>
      <c r="J42" s="62" t="e">
        <f>ROUND((H42*menu!#REF!+data!I42*menu!#REF!)/100,0)</f>
        <v>#REF!</v>
      </c>
      <c r="K42" s="47"/>
      <c r="L42" s="61"/>
      <c r="M42" s="62" t="e">
        <f>ROUND((K42*menu!#REF!+data!L42*menu!#REF!)/100,0)</f>
        <v>#REF!</v>
      </c>
      <c r="N42" s="47"/>
      <c r="O42" s="61"/>
      <c r="P42" s="64" t="e">
        <f>ROUND((N42*menu!#REF!+data!O42*menu!#REF!)/100,0)</f>
        <v>#REF!</v>
      </c>
      <c r="Q42" s="47"/>
      <c r="R42" s="61"/>
      <c r="S42" s="62" t="e">
        <f>ROUND((Q42*menu!#REF!+data!R42*menu!#REF!)/100,0)</f>
        <v>#REF!</v>
      </c>
      <c r="T42" s="47"/>
      <c r="U42" s="61"/>
      <c r="V42" s="62" t="e">
        <f>ROUND((T42*menu!#REF!+data!U42*menu!#REF!)/100,0)</f>
        <v>#REF!</v>
      </c>
      <c r="W42" s="47"/>
      <c r="X42" s="61"/>
      <c r="Y42" s="62" t="e">
        <f>ROUND((W42*menu!#REF!+data!X42*menu!#REF!)/100,0)</f>
        <v>#REF!</v>
      </c>
      <c r="Z42" s="47"/>
      <c r="AA42" s="61"/>
      <c r="AB42" s="62" t="e">
        <f>ROUND((Z42*menu!#REF!+data!AA42*menu!#REF!)/100,0)</f>
        <v>#REF!</v>
      </c>
      <c r="AC42" s="61"/>
      <c r="AD42" s="61"/>
      <c r="AE42" s="62" t="e">
        <f>ROUND((AC42*menu!#REF!+data!AD42*menu!#REF!)/100,0)</f>
        <v>#REF!</v>
      </c>
      <c r="AF42" s="47"/>
      <c r="AG42" s="61"/>
      <c r="AH42" s="62" t="e">
        <f>ROUND((AF42*menu!#REF!+data!AG42*menu!#REF!)/100,0)</f>
        <v>#REF!</v>
      </c>
      <c r="AI42" s="47"/>
      <c r="AJ42" s="61"/>
      <c r="AK42" s="62" t="e">
        <f>ROUND((AI42*menu!#REF!+data!AJ42*menu!#REF!)/100,0)</f>
        <v>#REF!</v>
      </c>
      <c r="AL42" s="47"/>
      <c r="AM42" s="61"/>
      <c r="AN42" s="62" t="e">
        <f>ROUND((AL42*menu!#REF!+data!AM42*menu!#REF!)/100,0)</f>
        <v>#REF!</v>
      </c>
      <c r="AO42" s="47"/>
      <c r="AP42" s="61"/>
      <c r="AQ42" s="62" t="e">
        <f>ROUND((AO42*menu!#REF!+data!AP42*menu!#REF!)/100,0)</f>
        <v>#REF!</v>
      </c>
      <c r="AR42" s="47"/>
      <c r="AS42" s="61"/>
      <c r="AT42" s="62" t="e">
        <f>ROUND((AR42*menu!#REF!+data!AS42*menu!#REF!)/100,0)</f>
        <v>#REF!</v>
      </c>
      <c r="AU42" s="47"/>
      <c r="AV42" s="61"/>
      <c r="AW42" s="62" t="e">
        <f>ROUND((AU42*menu!#REF!+data!AV42*menu!#REF!)/100,0)</f>
        <v>#REF!</v>
      </c>
      <c r="AX42" s="47"/>
      <c r="AY42" s="61"/>
      <c r="AZ42" s="62" t="e">
        <f>ROUND((AX42*menu!#REF!+data!AY42*menu!#REF!)/100,0)</f>
        <v>#REF!</v>
      </c>
      <c r="BA42" s="47"/>
      <c r="BB42" s="61"/>
      <c r="BC42" s="62" t="e">
        <f>ROUND((BA42*menu!#REF!+data!BB42*menu!#REF!)/100,0)</f>
        <v>#REF!</v>
      </c>
      <c r="BD42" s="47"/>
      <c r="BE42" s="61"/>
      <c r="BF42" s="62" t="e">
        <f>ROUND((BD42*menu!#REF!+data!BE42*menu!#REF!)/100,0)</f>
        <v>#REF!</v>
      </c>
      <c r="BG42" s="57" t="str">
        <f>IFERROR("Ananda "&amp;PROPER(menu!B43)&amp;" kompeten dalam "&amp;data!DA42&amp;", namun perlu ditingkatkan dalam kompetensi "&amp;data!DD42,"")</f>
        <v/>
      </c>
      <c r="BH42" s="41" t="s">
        <v>73</v>
      </c>
      <c r="BI42" s="41" t="s">
        <v>73</v>
      </c>
      <c r="BJ42" s="41" t="s">
        <v>73</v>
      </c>
      <c r="BK42" s="41" t="s">
        <v>73</v>
      </c>
      <c r="BL42" s="58" t="s">
        <v>73</v>
      </c>
      <c r="BM42" s="58"/>
      <c r="BN42" s="59" t="s">
        <v>73</v>
      </c>
      <c r="BO42" s="59"/>
      <c r="BP42" s="58" t="s">
        <v>73</v>
      </c>
      <c r="BQ42" s="58"/>
      <c r="BR42" s="47" t="s">
        <v>73</v>
      </c>
      <c r="BS42" s="48" t="s">
        <v>73</v>
      </c>
      <c r="BT42" s="47" t="s">
        <v>73</v>
      </c>
      <c r="BU42" s="48"/>
      <c r="BV42" s="47"/>
      <c r="BW42" s="48"/>
      <c r="BX42" s="47"/>
      <c r="BY42" s="48"/>
      <c r="BZ42" s="58"/>
      <c r="CA42" s="58"/>
      <c r="CB42" s="41"/>
      <c r="CC42" s="41"/>
      <c r="CD42" s="58"/>
      <c r="CE42" s="58"/>
      <c r="CF42" s="60" t="str">
        <f t="shared" si="0"/>
        <v xml:space="preserve">Ananda Vincent Adrian Kian menunjukkan perkembangan karakter yang  pada pembelajaran semester ini.   </v>
      </c>
      <c r="CG42" s="17" t="s">
        <v>10</v>
      </c>
      <c r="CH42" s="17"/>
      <c r="CI42" s="17"/>
      <c r="CK42" s="8" t="str">
        <f t="shared" si="1"/>
        <v/>
      </c>
      <c r="CL42" s="18" t="str">
        <f>"Ananda "&amp;PROPER(menu!B43)&amp;" menunjukkan perkembangan karakter yang "&amp;CK42&amp;" pada pembelajaran semester ini."</f>
        <v>Ananda Vincent Adrian Kian menunjukkan perkembangan karakter yang  pada pembelajaran semester ini.</v>
      </c>
      <c r="CM42" s="18" t="str">
        <f t="shared" si="2"/>
        <v/>
      </c>
      <c r="CN42" s="18" t="str">
        <f t="shared" si="3"/>
        <v/>
      </c>
      <c r="CO42" s="18" t="str">
        <f t="shared" si="4"/>
        <v/>
      </c>
      <c r="CQ42" s="19" t="str">
        <f t="shared" si="5"/>
        <v/>
      </c>
      <c r="CR42" s="20" t="str">
        <f t="shared" si="6"/>
        <v/>
      </c>
      <c r="CS42" s="19" t="str">
        <f t="shared" si="7"/>
        <v/>
      </c>
      <c r="CT42" s="20" t="str">
        <f t="shared" si="8"/>
        <v/>
      </c>
      <c r="CU42" s="19" t="str">
        <f t="shared" si="9"/>
        <v/>
      </c>
      <c r="CV42" s="20" t="str">
        <f t="shared" si="10"/>
        <v/>
      </c>
      <c r="CW42" s="19" t="str">
        <f t="shared" si="11"/>
        <v/>
      </c>
      <c r="CX42" s="20" t="str">
        <f t="shared" si="12"/>
        <v/>
      </c>
      <c r="CY42" s="22">
        <f t="shared" si="13"/>
        <v>0</v>
      </c>
      <c r="CZ42" s="22" t="e">
        <f t="shared" si="14"/>
        <v>#N/A</v>
      </c>
      <c r="DA42" s="8" t="e">
        <f t="shared" si="15"/>
        <v>#N/A</v>
      </c>
      <c r="DB42" s="7">
        <f t="shared" si="16"/>
        <v>0</v>
      </c>
      <c r="DC42" s="22" t="e">
        <f t="shared" si="17"/>
        <v>#N/A</v>
      </c>
      <c r="DD42" s="23" t="e">
        <f t="shared" si="18"/>
        <v>#N/A</v>
      </c>
      <c r="DF42" s="3">
        <v>36</v>
      </c>
      <c r="DG42" s="5" t="e">
        <f t="shared" ref="DG42:DN42" si="52">DG41</f>
        <v>#REF!</v>
      </c>
      <c r="DH42" s="5" t="e">
        <f t="shared" si="52"/>
        <v>#REF!</v>
      </c>
      <c r="DI42" s="5" t="e">
        <f t="shared" si="52"/>
        <v>#REF!</v>
      </c>
      <c r="DJ42" s="5" t="e">
        <f t="shared" si="52"/>
        <v>#REF!</v>
      </c>
      <c r="DK42" s="5" t="e">
        <f t="shared" si="52"/>
        <v>#REF!</v>
      </c>
      <c r="DL42" s="5" t="e">
        <f t="shared" si="52"/>
        <v>#REF!</v>
      </c>
      <c r="DM42" s="5" t="e">
        <f t="shared" si="52"/>
        <v>#REF!</v>
      </c>
      <c r="DN42" s="5" t="e">
        <f t="shared" si="52"/>
        <v>#REF!</v>
      </c>
    </row>
    <row r="43" spans="8:118" ht="15.75" customHeight="1" x14ac:dyDescent="0.25">
      <c r="H43" s="61"/>
      <c r="I43" s="61"/>
      <c r="J43" s="62" t="e">
        <f>ROUND((H43*menu!#REF!+data!I43*menu!#REF!)/100,0)</f>
        <v>#REF!</v>
      </c>
      <c r="K43" s="61"/>
      <c r="L43" s="61"/>
      <c r="M43" s="62" t="e">
        <f>ROUND((K43*menu!#REF!+data!L43*menu!#REF!)/100,0)</f>
        <v>#REF!</v>
      </c>
      <c r="N43" s="61"/>
      <c r="O43" s="61"/>
      <c r="P43" s="64" t="e">
        <f>ROUND((N43*menu!#REF!+data!O43*menu!#REF!)/100,0)</f>
        <v>#REF!</v>
      </c>
      <c r="Q43" s="61"/>
      <c r="R43" s="61"/>
      <c r="S43" s="62" t="e">
        <f>ROUND((Q43*menu!#REF!+data!R43*menu!#REF!)/100,0)</f>
        <v>#REF!</v>
      </c>
      <c r="T43" s="61"/>
      <c r="U43" s="61"/>
      <c r="V43" s="62" t="e">
        <f>ROUND((T43*menu!#REF!+data!U43*menu!#REF!)/100,0)</f>
        <v>#REF!</v>
      </c>
      <c r="W43" s="61"/>
      <c r="X43" s="61"/>
      <c r="Y43" s="62" t="e">
        <f>ROUND((W43*menu!#REF!+data!X43*menu!#REF!)/100,0)</f>
        <v>#REF!</v>
      </c>
      <c r="Z43" s="61"/>
      <c r="AA43" s="61"/>
      <c r="AB43" s="62" t="e">
        <f>ROUND((Z43*menu!#REF!+data!AA43*menu!#REF!)/100,0)</f>
        <v>#REF!</v>
      </c>
      <c r="AC43" s="61"/>
      <c r="AD43" s="61"/>
      <c r="AE43" s="62" t="e">
        <f>ROUND((AC43*menu!#REF!+data!AD43*menu!#REF!)/100,0)</f>
        <v>#REF!</v>
      </c>
      <c r="AF43" s="61"/>
      <c r="AG43" s="61"/>
      <c r="AH43" s="62" t="e">
        <f>ROUND((AF43*menu!#REF!+data!AG43*menu!#REF!)/100,0)</f>
        <v>#REF!</v>
      </c>
      <c r="AI43" s="61"/>
      <c r="AJ43" s="61"/>
      <c r="AK43" s="62" t="e">
        <f>ROUND((AI43*menu!#REF!+data!AJ43*menu!#REF!)/100,0)</f>
        <v>#REF!</v>
      </c>
      <c r="AL43" s="61"/>
      <c r="AM43" s="61"/>
      <c r="AN43" s="62" t="e">
        <f>ROUND((AL43*menu!#REF!+data!AM43*menu!#REF!)/100,0)</f>
        <v>#REF!</v>
      </c>
      <c r="AO43" s="61"/>
      <c r="AP43" s="61"/>
      <c r="AQ43" s="62" t="e">
        <f>ROUND((AO43*menu!#REF!+data!AP43*menu!#REF!)/100,0)</f>
        <v>#REF!</v>
      </c>
      <c r="AR43" s="61"/>
      <c r="AS43" s="61"/>
      <c r="AT43" s="62" t="e">
        <f>ROUND((AR43*menu!#REF!+data!AS43*menu!#REF!)/100,0)</f>
        <v>#REF!</v>
      </c>
      <c r="AU43" s="61"/>
      <c r="AV43" s="61"/>
      <c r="AW43" s="62" t="e">
        <f>ROUND((AU43*menu!#REF!+data!AV43*menu!#REF!)/100,0)</f>
        <v>#REF!</v>
      </c>
      <c r="AX43" s="61"/>
      <c r="AY43" s="61"/>
      <c r="AZ43" s="62" t="e">
        <f>ROUND((AX43*menu!#REF!+data!AY43*menu!#REF!)/100,0)</f>
        <v>#REF!</v>
      </c>
      <c r="BA43" s="61"/>
      <c r="BB43" s="61"/>
      <c r="BC43" s="62" t="e">
        <f>ROUND((BA43*menu!#REF!+data!BB43*menu!#REF!)/100,0)</f>
        <v>#REF!</v>
      </c>
      <c r="BD43" s="61"/>
      <c r="BE43" s="61"/>
      <c r="BF43" s="62" t="e">
        <f>ROUND((BD43*menu!#REF!+data!BE43*menu!#REF!)/100,0)</f>
        <v>#REF!</v>
      </c>
      <c r="BG43" s="57" t="str">
        <f>IFERROR("Ananda "&amp;PROPER(menu!B44)&amp;" kompeten dalam "&amp;data!DA43&amp;", namun perlu ditingkatkan dalam kompetensi "&amp;data!DD43,"")</f>
        <v/>
      </c>
      <c r="BH43" s="41" t="s">
        <v>73</v>
      </c>
      <c r="BI43" s="41" t="s">
        <v>73</v>
      </c>
      <c r="BJ43" s="41" t="s">
        <v>73</v>
      </c>
      <c r="BK43" s="41" t="s">
        <v>73</v>
      </c>
      <c r="BL43" s="58" t="s">
        <v>73</v>
      </c>
      <c r="BM43" s="58"/>
      <c r="BN43" s="59" t="s">
        <v>73</v>
      </c>
      <c r="BO43" s="59"/>
      <c r="BP43" s="58" t="s">
        <v>73</v>
      </c>
      <c r="BQ43" s="58"/>
      <c r="BR43" s="47" t="s">
        <v>73</v>
      </c>
      <c r="BS43" s="48" t="s">
        <v>73</v>
      </c>
      <c r="BT43" s="47" t="s">
        <v>73</v>
      </c>
      <c r="BU43" s="48"/>
      <c r="BV43" s="47"/>
      <c r="BW43" s="48"/>
      <c r="BX43" s="47"/>
      <c r="BY43" s="48"/>
      <c r="BZ43" s="58"/>
      <c r="CA43" s="58"/>
      <c r="CB43" s="41"/>
      <c r="CC43" s="41"/>
      <c r="CD43" s="58"/>
      <c r="CE43" s="58"/>
      <c r="CF43" s="60" t="str">
        <f t="shared" si="0"/>
        <v xml:space="preserve">Ananda Widianti menunjukkan perkembangan karakter yang  pada pembelajaran semester ini.   </v>
      </c>
      <c r="CG43" s="17" t="s">
        <v>10</v>
      </c>
      <c r="CH43" s="17"/>
      <c r="CI43" s="17"/>
      <c r="CK43" s="8" t="str">
        <f t="shared" si="1"/>
        <v/>
      </c>
      <c r="CL43" s="18" t="str">
        <f>"Ananda "&amp;PROPER(menu!B44)&amp;" menunjukkan perkembangan karakter yang "&amp;CK43&amp;" pada pembelajaran semester ini."</f>
        <v>Ananda Widianti menunjukkan perkembangan karakter yang  pada pembelajaran semester ini.</v>
      </c>
      <c r="CM43" s="18" t="str">
        <f t="shared" si="2"/>
        <v/>
      </c>
      <c r="CN43" s="18" t="str">
        <f t="shared" si="3"/>
        <v/>
      </c>
      <c r="CO43" s="18" t="str">
        <f t="shared" si="4"/>
        <v/>
      </c>
      <c r="CQ43" s="19" t="str">
        <f t="shared" si="5"/>
        <v/>
      </c>
      <c r="CR43" s="20" t="str">
        <f t="shared" si="6"/>
        <v/>
      </c>
      <c r="CS43" s="19" t="str">
        <f t="shared" si="7"/>
        <v/>
      </c>
      <c r="CT43" s="20" t="str">
        <f t="shared" si="8"/>
        <v/>
      </c>
      <c r="CU43" s="19" t="str">
        <f t="shared" si="9"/>
        <v/>
      </c>
      <c r="CV43" s="20" t="str">
        <f t="shared" si="10"/>
        <v/>
      </c>
      <c r="CW43" s="19" t="str">
        <f t="shared" si="11"/>
        <v/>
      </c>
      <c r="CX43" s="20" t="str">
        <f t="shared" si="12"/>
        <v/>
      </c>
      <c r="CY43" s="22">
        <f t="shared" si="13"/>
        <v>0</v>
      </c>
      <c r="CZ43" s="22" t="e">
        <f t="shared" si="14"/>
        <v>#N/A</v>
      </c>
      <c r="DA43" s="8" t="e">
        <f t="shared" si="15"/>
        <v>#N/A</v>
      </c>
      <c r="DB43" s="7">
        <f t="shared" si="16"/>
        <v>0</v>
      </c>
      <c r="DC43" s="22" t="e">
        <f t="shared" si="17"/>
        <v>#N/A</v>
      </c>
      <c r="DD43" s="23" t="e">
        <f t="shared" si="18"/>
        <v>#N/A</v>
      </c>
      <c r="DF43" s="3">
        <v>37</v>
      </c>
      <c r="DG43" s="5" t="e">
        <f t="shared" ref="DG43:DN43" si="53">DG42</f>
        <v>#REF!</v>
      </c>
      <c r="DH43" s="5" t="e">
        <f t="shared" si="53"/>
        <v>#REF!</v>
      </c>
      <c r="DI43" s="5" t="e">
        <f t="shared" si="53"/>
        <v>#REF!</v>
      </c>
      <c r="DJ43" s="5" t="e">
        <f t="shared" si="53"/>
        <v>#REF!</v>
      </c>
      <c r="DK43" s="5" t="e">
        <f t="shared" si="53"/>
        <v>#REF!</v>
      </c>
      <c r="DL43" s="5" t="e">
        <f t="shared" si="53"/>
        <v>#REF!</v>
      </c>
      <c r="DM43" s="5" t="e">
        <f t="shared" si="53"/>
        <v>#REF!</v>
      </c>
      <c r="DN43" s="5" t="e">
        <f t="shared" si="53"/>
        <v>#REF!</v>
      </c>
    </row>
    <row r="44" spans="8:118" ht="15.75" customHeight="1" x14ac:dyDescent="0.25">
      <c r="H44" s="63">
        <f t="shared" ref="H44:AM44" si="54">MAX(H8:H43)</f>
        <v>0</v>
      </c>
      <c r="I44" s="63">
        <f t="shared" si="54"/>
        <v>0</v>
      </c>
      <c r="J44" s="63" t="e">
        <f t="shared" si="54"/>
        <v>#REF!</v>
      </c>
      <c r="K44" s="63">
        <f t="shared" si="54"/>
        <v>0</v>
      </c>
      <c r="L44" s="63">
        <f t="shared" si="54"/>
        <v>0</v>
      </c>
      <c r="M44" s="63" t="e">
        <f t="shared" si="54"/>
        <v>#REF!</v>
      </c>
      <c r="N44" s="63">
        <f t="shared" si="54"/>
        <v>0</v>
      </c>
      <c r="O44" s="63">
        <f t="shared" si="54"/>
        <v>0</v>
      </c>
      <c r="P44" s="63" t="e">
        <f t="shared" si="54"/>
        <v>#REF!</v>
      </c>
      <c r="Q44" s="63">
        <f t="shared" si="54"/>
        <v>0</v>
      </c>
      <c r="R44" s="63">
        <f t="shared" si="54"/>
        <v>0</v>
      </c>
      <c r="S44" s="63" t="e">
        <f t="shared" si="54"/>
        <v>#REF!</v>
      </c>
      <c r="T44" s="63">
        <f t="shared" si="54"/>
        <v>0</v>
      </c>
      <c r="U44" s="63">
        <f t="shared" si="54"/>
        <v>0</v>
      </c>
      <c r="V44" s="63" t="e">
        <f t="shared" si="54"/>
        <v>#REF!</v>
      </c>
      <c r="W44" s="63">
        <f t="shared" si="54"/>
        <v>0</v>
      </c>
      <c r="X44" s="63">
        <f t="shared" si="54"/>
        <v>0</v>
      </c>
      <c r="Y44" s="63" t="e">
        <f t="shared" si="54"/>
        <v>#REF!</v>
      </c>
      <c r="Z44" s="63">
        <f t="shared" si="54"/>
        <v>0</v>
      </c>
      <c r="AA44" s="63">
        <f t="shared" si="54"/>
        <v>0</v>
      </c>
      <c r="AB44" s="63" t="e">
        <f t="shared" si="54"/>
        <v>#REF!</v>
      </c>
      <c r="AC44" s="63">
        <f t="shared" si="54"/>
        <v>0</v>
      </c>
      <c r="AD44" s="63">
        <f t="shared" si="54"/>
        <v>0</v>
      </c>
      <c r="AE44" s="63" t="e">
        <f t="shared" si="54"/>
        <v>#REF!</v>
      </c>
      <c r="AF44" s="63">
        <f t="shared" si="54"/>
        <v>0</v>
      </c>
      <c r="AG44" s="63">
        <f t="shared" si="54"/>
        <v>0</v>
      </c>
      <c r="AH44" s="63" t="e">
        <f t="shared" si="54"/>
        <v>#REF!</v>
      </c>
      <c r="AI44" s="63">
        <f t="shared" si="54"/>
        <v>0</v>
      </c>
      <c r="AJ44" s="63">
        <f t="shared" si="54"/>
        <v>0</v>
      </c>
      <c r="AK44" s="63" t="e">
        <f t="shared" si="54"/>
        <v>#REF!</v>
      </c>
      <c r="AL44" s="63">
        <f t="shared" si="54"/>
        <v>0</v>
      </c>
      <c r="AM44" s="63">
        <f t="shared" si="54"/>
        <v>0</v>
      </c>
      <c r="AN44" s="63" t="e">
        <f t="shared" ref="AN44:BF44" si="55">MAX(AN8:AN43)</f>
        <v>#REF!</v>
      </c>
      <c r="AO44" s="63">
        <f t="shared" si="55"/>
        <v>0</v>
      </c>
      <c r="AP44" s="63">
        <f t="shared" si="55"/>
        <v>0</v>
      </c>
      <c r="AQ44" s="63" t="e">
        <f t="shared" si="55"/>
        <v>#REF!</v>
      </c>
      <c r="AR44" s="63">
        <f t="shared" si="55"/>
        <v>0</v>
      </c>
      <c r="AS44" s="63">
        <f t="shared" si="55"/>
        <v>0</v>
      </c>
      <c r="AT44" s="63" t="e">
        <f t="shared" si="55"/>
        <v>#REF!</v>
      </c>
      <c r="AU44" s="63">
        <f t="shared" si="55"/>
        <v>0</v>
      </c>
      <c r="AV44" s="63">
        <f t="shared" si="55"/>
        <v>0</v>
      </c>
      <c r="AW44" s="63" t="e">
        <f t="shared" si="55"/>
        <v>#REF!</v>
      </c>
      <c r="AX44" s="63">
        <f t="shared" si="55"/>
        <v>0</v>
      </c>
      <c r="AY44" s="63">
        <f t="shared" si="55"/>
        <v>0</v>
      </c>
      <c r="AZ44" s="63" t="e">
        <f t="shared" si="55"/>
        <v>#REF!</v>
      </c>
      <c r="BA44" s="63">
        <f t="shared" si="55"/>
        <v>0</v>
      </c>
      <c r="BB44" s="63">
        <f t="shared" si="55"/>
        <v>0</v>
      </c>
      <c r="BC44" s="63" t="e">
        <f t="shared" si="55"/>
        <v>#REF!</v>
      </c>
      <c r="BD44" s="63">
        <f t="shared" si="55"/>
        <v>0</v>
      </c>
      <c r="BE44" s="63">
        <f t="shared" si="55"/>
        <v>0</v>
      </c>
      <c r="BF44" s="63" t="e">
        <f t="shared" si="55"/>
        <v>#REF!</v>
      </c>
      <c r="BG44" s="57"/>
      <c r="BH44" s="57"/>
      <c r="BI44" s="57"/>
      <c r="BJ44" s="57"/>
      <c r="BK44" s="57"/>
      <c r="BL44" s="58"/>
      <c r="BM44" s="58"/>
      <c r="BN44" s="59"/>
      <c r="BO44" s="59"/>
      <c r="BP44" s="58"/>
      <c r="BQ44" s="58"/>
      <c r="BR44" s="47"/>
      <c r="BS44" s="48"/>
      <c r="BT44" s="47"/>
      <c r="BU44" s="48"/>
      <c r="BV44" s="47"/>
      <c r="BW44" s="48"/>
      <c r="BX44" s="47"/>
      <c r="BY44" s="48"/>
      <c r="BZ44" s="58"/>
      <c r="CA44" s="58"/>
      <c r="CB44" s="41"/>
      <c r="CC44" s="41"/>
      <c r="CD44" s="58"/>
      <c r="CE44" s="58"/>
      <c r="CF44" s="60"/>
      <c r="CG44" s="17"/>
      <c r="CH44" s="17"/>
      <c r="CI44" s="17"/>
      <c r="CK44" s="8"/>
      <c r="CL44" s="18"/>
      <c r="CM44" s="18"/>
      <c r="CN44" s="18"/>
      <c r="CO44" s="18"/>
      <c r="CQ44" s="19"/>
      <c r="CR44" s="20"/>
      <c r="CS44" s="19"/>
      <c r="CT44" s="20"/>
      <c r="CU44" s="19"/>
      <c r="CV44" s="20"/>
      <c r="CW44" s="19"/>
      <c r="CX44" s="20"/>
      <c r="CY44" s="22"/>
      <c r="CZ44" s="22"/>
      <c r="DA44" s="8"/>
      <c r="DB44" s="7"/>
      <c r="DC44" s="22"/>
      <c r="DD44" s="23"/>
      <c r="DF44" s="3"/>
      <c r="DG44" s="5"/>
      <c r="DH44" s="5"/>
      <c r="DI44" s="5"/>
      <c r="DJ44" s="5"/>
      <c r="DK44" s="5"/>
      <c r="DL44" s="5"/>
      <c r="DM44" s="5"/>
      <c r="DN44" s="5"/>
    </row>
    <row r="45" spans="8:118" ht="15.75" customHeight="1" x14ac:dyDescent="0.25">
      <c r="H45" s="63">
        <f t="shared" ref="H45:AM45" si="56">MIN(H8:H43)</f>
        <v>0</v>
      </c>
      <c r="I45" s="63">
        <f t="shared" si="56"/>
        <v>0</v>
      </c>
      <c r="J45" s="63" t="e">
        <f t="shared" si="56"/>
        <v>#REF!</v>
      </c>
      <c r="K45" s="63">
        <f t="shared" si="56"/>
        <v>0</v>
      </c>
      <c r="L45" s="63">
        <f t="shared" si="56"/>
        <v>0</v>
      </c>
      <c r="M45" s="63" t="e">
        <f t="shared" si="56"/>
        <v>#REF!</v>
      </c>
      <c r="N45" s="63">
        <f t="shared" si="56"/>
        <v>0</v>
      </c>
      <c r="O45" s="63">
        <f t="shared" si="56"/>
        <v>0</v>
      </c>
      <c r="P45" s="63" t="e">
        <f t="shared" si="56"/>
        <v>#REF!</v>
      </c>
      <c r="Q45" s="63">
        <f t="shared" si="56"/>
        <v>0</v>
      </c>
      <c r="R45" s="63">
        <f t="shared" si="56"/>
        <v>0</v>
      </c>
      <c r="S45" s="63" t="e">
        <f t="shared" si="56"/>
        <v>#REF!</v>
      </c>
      <c r="T45" s="63">
        <f t="shared" si="56"/>
        <v>0</v>
      </c>
      <c r="U45" s="63">
        <f t="shared" si="56"/>
        <v>0</v>
      </c>
      <c r="V45" s="63" t="e">
        <f t="shared" si="56"/>
        <v>#REF!</v>
      </c>
      <c r="W45" s="63">
        <f t="shared" si="56"/>
        <v>0</v>
      </c>
      <c r="X45" s="63">
        <f t="shared" si="56"/>
        <v>0</v>
      </c>
      <c r="Y45" s="63" t="e">
        <f t="shared" si="56"/>
        <v>#REF!</v>
      </c>
      <c r="Z45" s="63">
        <f t="shared" si="56"/>
        <v>0</v>
      </c>
      <c r="AA45" s="63">
        <f t="shared" si="56"/>
        <v>0</v>
      </c>
      <c r="AB45" s="63" t="e">
        <f t="shared" si="56"/>
        <v>#REF!</v>
      </c>
      <c r="AC45" s="63">
        <f t="shared" si="56"/>
        <v>0</v>
      </c>
      <c r="AD45" s="63">
        <f t="shared" si="56"/>
        <v>0</v>
      </c>
      <c r="AE45" s="63" t="e">
        <f t="shared" si="56"/>
        <v>#REF!</v>
      </c>
      <c r="AF45" s="63">
        <f t="shared" si="56"/>
        <v>0</v>
      </c>
      <c r="AG45" s="63">
        <f t="shared" si="56"/>
        <v>0</v>
      </c>
      <c r="AH45" s="63" t="e">
        <f t="shared" si="56"/>
        <v>#REF!</v>
      </c>
      <c r="AI45" s="63">
        <f t="shared" si="56"/>
        <v>0</v>
      </c>
      <c r="AJ45" s="63">
        <f t="shared" si="56"/>
        <v>0</v>
      </c>
      <c r="AK45" s="63" t="e">
        <f t="shared" si="56"/>
        <v>#REF!</v>
      </c>
      <c r="AL45" s="63">
        <f t="shared" si="56"/>
        <v>0</v>
      </c>
      <c r="AM45" s="63">
        <f t="shared" si="56"/>
        <v>0</v>
      </c>
      <c r="AN45" s="63" t="e">
        <f t="shared" ref="AN45:BF45" si="57">MIN(AN8:AN43)</f>
        <v>#REF!</v>
      </c>
      <c r="AO45" s="63">
        <f t="shared" si="57"/>
        <v>0</v>
      </c>
      <c r="AP45" s="63">
        <f t="shared" si="57"/>
        <v>0</v>
      </c>
      <c r="AQ45" s="63" t="e">
        <f t="shared" si="57"/>
        <v>#REF!</v>
      </c>
      <c r="AR45" s="63">
        <f t="shared" si="57"/>
        <v>0</v>
      </c>
      <c r="AS45" s="63">
        <f t="shared" si="57"/>
        <v>0</v>
      </c>
      <c r="AT45" s="63" t="e">
        <f t="shared" si="57"/>
        <v>#REF!</v>
      </c>
      <c r="AU45" s="63">
        <f t="shared" si="57"/>
        <v>0</v>
      </c>
      <c r="AV45" s="63">
        <f t="shared" si="57"/>
        <v>0</v>
      </c>
      <c r="AW45" s="63" t="e">
        <f t="shared" si="57"/>
        <v>#REF!</v>
      </c>
      <c r="AX45" s="63">
        <f t="shared" si="57"/>
        <v>0</v>
      </c>
      <c r="AY45" s="63">
        <f t="shared" si="57"/>
        <v>0</v>
      </c>
      <c r="AZ45" s="63" t="e">
        <f t="shared" si="57"/>
        <v>#REF!</v>
      </c>
      <c r="BA45" s="63">
        <f t="shared" si="57"/>
        <v>0</v>
      </c>
      <c r="BB45" s="63">
        <f t="shared" si="57"/>
        <v>0</v>
      </c>
      <c r="BC45" s="63" t="e">
        <f t="shared" si="57"/>
        <v>#REF!</v>
      </c>
      <c r="BD45" s="63">
        <f t="shared" si="57"/>
        <v>0</v>
      </c>
      <c r="BE45" s="63">
        <f t="shared" si="57"/>
        <v>0</v>
      </c>
      <c r="BF45" s="63" t="e">
        <f t="shared" si="57"/>
        <v>#REF!</v>
      </c>
      <c r="BG45" s="57"/>
      <c r="BH45" s="57"/>
      <c r="BI45" s="57"/>
      <c r="BJ45" s="57"/>
      <c r="BK45" s="57"/>
      <c r="BL45" s="58"/>
      <c r="BM45" s="58"/>
      <c r="BN45" s="59"/>
      <c r="BO45" s="59"/>
      <c r="BP45" s="58"/>
      <c r="BQ45" s="58"/>
      <c r="BR45" s="47"/>
      <c r="BS45" s="48"/>
      <c r="BT45" s="47"/>
      <c r="BU45" s="48"/>
      <c r="BV45" s="47"/>
      <c r="BW45" s="48"/>
      <c r="BX45" s="47"/>
      <c r="BY45" s="48"/>
      <c r="BZ45" s="58"/>
      <c r="CA45" s="58"/>
      <c r="CB45" s="41"/>
      <c r="CC45" s="41"/>
      <c r="CD45" s="58"/>
      <c r="CE45" s="58"/>
      <c r="CF45" s="60"/>
      <c r="CG45" s="17"/>
      <c r="CH45" s="17"/>
      <c r="CI45" s="17"/>
      <c r="CK45" s="8"/>
      <c r="CL45" s="18"/>
      <c r="CM45" s="18"/>
      <c r="CN45" s="18"/>
      <c r="CO45" s="18"/>
      <c r="CQ45" s="19"/>
      <c r="CR45" s="20"/>
      <c r="CS45" s="19"/>
      <c r="CT45" s="20"/>
      <c r="CU45" s="19"/>
      <c r="CV45" s="20"/>
      <c r="CW45" s="19"/>
      <c r="CX45" s="20"/>
      <c r="CY45" s="22"/>
      <c r="CZ45" s="22"/>
      <c r="DA45" s="8"/>
      <c r="DB45" s="7"/>
      <c r="DC45" s="22"/>
      <c r="DD45" s="23"/>
      <c r="DF45" s="3"/>
      <c r="DG45" s="5"/>
      <c r="DH45" s="5"/>
      <c r="DI45" s="5"/>
      <c r="DJ45" s="5"/>
      <c r="DK45" s="5"/>
      <c r="DL45" s="5"/>
      <c r="DM45" s="5"/>
      <c r="DN45" s="5"/>
    </row>
    <row r="46" spans="8:118" ht="15.75" customHeight="1" x14ac:dyDescent="0.25">
      <c r="H46" s="56" t="e">
        <f t="shared" ref="H46:AM46" si="58">AVERAGE(H8:H43)</f>
        <v>#DIV/0!</v>
      </c>
      <c r="I46" s="56" t="e">
        <f t="shared" si="58"/>
        <v>#DIV/0!</v>
      </c>
      <c r="J46" s="56" t="e">
        <f t="shared" si="58"/>
        <v>#REF!</v>
      </c>
      <c r="K46" s="56" t="e">
        <f t="shared" si="58"/>
        <v>#DIV/0!</v>
      </c>
      <c r="L46" s="56" t="e">
        <f t="shared" si="58"/>
        <v>#DIV/0!</v>
      </c>
      <c r="M46" s="56" t="e">
        <f t="shared" si="58"/>
        <v>#REF!</v>
      </c>
      <c r="N46" s="56" t="e">
        <f t="shared" si="58"/>
        <v>#DIV/0!</v>
      </c>
      <c r="O46" s="56" t="e">
        <f t="shared" si="58"/>
        <v>#DIV/0!</v>
      </c>
      <c r="P46" s="56" t="e">
        <f t="shared" si="58"/>
        <v>#REF!</v>
      </c>
      <c r="Q46" s="56" t="e">
        <f t="shared" si="58"/>
        <v>#DIV/0!</v>
      </c>
      <c r="R46" s="56" t="e">
        <f t="shared" si="58"/>
        <v>#DIV/0!</v>
      </c>
      <c r="S46" s="56" t="e">
        <f t="shared" si="58"/>
        <v>#REF!</v>
      </c>
      <c r="T46" s="56" t="e">
        <f t="shared" si="58"/>
        <v>#DIV/0!</v>
      </c>
      <c r="U46" s="56" t="e">
        <f t="shared" si="58"/>
        <v>#DIV/0!</v>
      </c>
      <c r="V46" s="56" t="e">
        <f t="shared" si="58"/>
        <v>#REF!</v>
      </c>
      <c r="W46" s="56" t="e">
        <f t="shared" si="58"/>
        <v>#DIV/0!</v>
      </c>
      <c r="X46" s="56" t="e">
        <f t="shared" si="58"/>
        <v>#DIV/0!</v>
      </c>
      <c r="Y46" s="56" t="e">
        <f t="shared" si="58"/>
        <v>#REF!</v>
      </c>
      <c r="Z46" s="56" t="e">
        <f t="shared" si="58"/>
        <v>#DIV/0!</v>
      </c>
      <c r="AA46" s="56" t="e">
        <f t="shared" si="58"/>
        <v>#DIV/0!</v>
      </c>
      <c r="AB46" s="56" t="e">
        <f t="shared" si="58"/>
        <v>#REF!</v>
      </c>
      <c r="AC46" s="56" t="e">
        <f t="shared" si="58"/>
        <v>#DIV/0!</v>
      </c>
      <c r="AD46" s="56" t="e">
        <f t="shared" si="58"/>
        <v>#DIV/0!</v>
      </c>
      <c r="AE46" s="56" t="e">
        <f t="shared" si="58"/>
        <v>#REF!</v>
      </c>
      <c r="AF46" s="56" t="e">
        <f t="shared" si="58"/>
        <v>#DIV/0!</v>
      </c>
      <c r="AG46" s="56" t="e">
        <f t="shared" si="58"/>
        <v>#DIV/0!</v>
      </c>
      <c r="AH46" s="56" t="e">
        <f t="shared" si="58"/>
        <v>#REF!</v>
      </c>
      <c r="AI46" s="56" t="e">
        <f t="shared" si="58"/>
        <v>#DIV/0!</v>
      </c>
      <c r="AJ46" s="56" t="e">
        <f t="shared" si="58"/>
        <v>#DIV/0!</v>
      </c>
      <c r="AK46" s="56" t="e">
        <f t="shared" si="58"/>
        <v>#REF!</v>
      </c>
      <c r="AL46" s="56" t="e">
        <f t="shared" si="58"/>
        <v>#DIV/0!</v>
      </c>
      <c r="AM46" s="56" t="e">
        <f t="shared" si="58"/>
        <v>#DIV/0!</v>
      </c>
      <c r="AN46" s="56" t="e">
        <f t="shared" ref="AN46:BF46" si="59">AVERAGE(AN8:AN43)</f>
        <v>#REF!</v>
      </c>
      <c r="AO46" s="56" t="e">
        <f t="shared" si="59"/>
        <v>#DIV/0!</v>
      </c>
      <c r="AP46" s="56" t="e">
        <f t="shared" si="59"/>
        <v>#DIV/0!</v>
      </c>
      <c r="AQ46" s="56" t="e">
        <f t="shared" si="59"/>
        <v>#REF!</v>
      </c>
      <c r="AR46" s="56" t="e">
        <f t="shared" si="59"/>
        <v>#DIV/0!</v>
      </c>
      <c r="AS46" s="56" t="e">
        <f t="shared" si="59"/>
        <v>#DIV/0!</v>
      </c>
      <c r="AT46" s="56" t="e">
        <f t="shared" si="59"/>
        <v>#REF!</v>
      </c>
      <c r="AU46" s="56" t="e">
        <f t="shared" si="59"/>
        <v>#DIV/0!</v>
      </c>
      <c r="AV46" s="56" t="e">
        <f t="shared" si="59"/>
        <v>#DIV/0!</v>
      </c>
      <c r="AW46" s="56" t="e">
        <f t="shared" si="59"/>
        <v>#REF!</v>
      </c>
      <c r="AX46" s="56" t="e">
        <f t="shared" si="59"/>
        <v>#DIV/0!</v>
      </c>
      <c r="AY46" s="56" t="e">
        <f t="shared" si="59"/>
        <v>#DIV/0!</v>
      </c>
      <c r="AZ46" s="56" t="e">
        <f t="shared" si="59"/>
        <v>#REF!</v>
      </c>
      <c r="BA46" s="56" t="e">
        <f t="shared" si="59"/>
        <v>#DIV/0!</v>
      </c>
      <c r="BB46" s="56" t="e">
        <f t="shared" si="59"/>
        <v>#DIV/0!</v>
      </c>
      <c r="BC46" s="56" t="e">
        <f t="shared" si="59"/>
        <v>#REF!</v>
      </c>
      <c r="BD46" s="56" t="e">
        <f t="shared" si="59"/>
        <v>#DIV/0!</v>
      </c>
      <c r="BE46" s="56" t="e">
        <f t="shared" si="59"/>
        <v>#DIV/0!</v>
      </c>
      <c r="BF46" s="56" t="e">
        <f t="shared" si="59"/>
        <v>#REF!</v>
      </c>
      <c r="BG46" s="57"/>
      <c r="BH46" s="57"/>
      <c r="BI46" s="57"/>
      <c r="BJ46" s="57"/>
      <c r="BK46" s="57"/>
      <c r="BL46" s="58"/>
      <c r="BM46" s="58"/>
      <c r="BN46" s="59"/>
      <c r="BO46" s="59"/>
      <c r="BP46" s="58"/>
      <c r="BQ46" s="58"/>
      <c r="BR46" s="47"/>
      <c r="BS46" s="48"/>
      <c r="BT46" s="47"/>
      <c r="BU46" s="48"/>
      <c r="BV46" s="47"/>
      <c r="BW46" s="48"/>
      <c r="BX46" s="47"/>
      <c r="BY46" s="48"/>
      <c r="BZ46" s="58"/>
      <c r="CA46" s="58"/>
      <c r="CB46" s="41"/>
      <c r="CC46" s="41"/>
      <c r="CD46" s="58"/>
      <c r="CE46" s="58"/>
      <c r="CF46" s="60"/>
      <c r="CG46" s="17"/>
      <c r="CH46" s="17"/>
      <c r="CI46" s="17"/>
      <c r="CK46" s="8"/>
      <c r="CL46" s="18"/>
      <c r="CM46" s="18"/>
      <c r="CN46" s="18"/>
      <c r="CO46" s="18"/>
      <c r="CQ46" s="19"/>
      <c r="CR46" s="20"/>
      <c r="CS46" s="19"/>
      <c r="CT46" s="20"/>
      <c r="CU46" s="19"/>
      <c r="CV46" s="20"/>
      <c r="CW46" s="19"/>
      <c r="CX46" s="20"/>
      <c r="CY46" s="22"/>
      <c r="CZ46" s="22"/>
      <c r="DA46" s="8"/>
      <c r="DB46" s="7"/>
      <c r="DC46" s="22"/>
      <c r="DD46" s="23"/>
      <c r="DF46" s="3"/>
      <c r="DG46" s="5"/>
      <c r="DH46" s="5"/>
      <c r="DI46" s="5"/>
      <c r="DJ46" s="5"/>
      <c r="DK46" s="5"/>
      <c r="DL46" s="5"/>
      <c r="DM46" s="5"/>
      <c r="DN46" s="5"/>
    </row>
    <row r="47" spans="8:118" ht="15.75" customHeight="1" x14ac:dyDescent="0.25">
      <c r="R47" s="24"/>
      <c r="BN47" s="25"/>
      <c r="BO47" s="25"/>
    </row>
    <row r="48" spans="8:118" ht="15.75" customHeight="1" x14ac:dyDescent="0.25">
      <c r="R48" s="24"/>
      <c r="BN48" s="25"/>
      <c r="BO48" s="25"/>
    </row>
    <row r="49" spans="6:67" ht="15.75" customHeight="1" x14ac:dyDescent="0.25">
      <c r="R49" s="24"/>
      <c r="BN49" s="25"/>
      <c r="BO49" s="25"/>
    </row>
    <row r="50" spans="6:67" ht="15.75" customHeight="1" x14ac:dyDescent="0.25">
      <c r="BN50" s="25"/>
      <c r="BO50" s="25"/>
    </row>
    <row r="51" spans="6:67" ht="15.75" customHeight="1" x14ac:dyDescent="0.25">
      <c r="BN51" s="25"/>
      <c r="BO51" s="25"/>
    </row>
    <row r="52" spans="6:67" ht="15.75" customHeight="1" x14ac:dyDescent="0.25"/>
    <row r="53" spans="6:67" ht="15.75" customHeight="1" x14ac:dyDescent="0.25"/>
    <row r="54" spans="6:67" ht="15.75" customHeight="1" x14ac:dyDescent="0.25"/>
    <row r="55" spans="6:67" ht="15.75" customHeight="1" x14ac:dyDescent="0.25"/>
    <row r="56" spans="6:67" ht="15.75" customHeight="1" x14ac:dyDescent="0.25"/>
    <row r="57" spans="6:67" ht="15.75" customHeight="1" x14ac:dyDescent="0.25">
      <c r="F57" s="24" t="s">
        <v>10</v>
      </c>
      <c r="G57" s="2"/>
      <c r="M57" s="2"/>
      <c r="S57" s="2"/>
      <c r="Y57" s="2"/>
      <c r="AE57" s="2"/>
      <c r="AH57" s="2"/>
      <c r="AN57" s="2"/>
      <c r="AT57" s="2"/>
      <c r="AZ57" s="2"/>
      <c r="BF57" s="2"/>
    </row>
    <row r="58" spans="6:67" ht="15.75" customHeight="1" x14ac:dyDescent="0.25"/>
    <row r="59" spans="6:67" ht="15.75" customHeight="1" x14ac:dyDescent="0.25"/>
    <row r="60" spans="6:67" ht="15.75" customHeight="1" x14ac:dyDescent="0.25"/>
    <row r="61" spans="6:67" ht="15.75" customHeight="1" x14ac:dyDescent="0.25"/>
    <row r="62" spans="6:67" ht="15.75" customHeight="1" x14ac:dyDescent="0.25"/>
    <row r="63" spans="6:67" ht="15.75" customHeight="1" x14ac:dyDescent="0.25"/>
    <row r="64" spans="6:67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13">
    <mergeCell ref="H2:I2"/>
    <mergeCell ref="K2:L2"/>
    <mergeCell ref="K3:L3"/>
    <mergeCell ref="L4:L5"/>
    <mergeCell ref="J4:J5"/>
    <mergeCell ref="H3:I3"/>
    <mergeCell ref="H4:H5"/>
    <mergeCell ref="I4:I5"/>
    <mergeCell ref="K4:K5"/>
    <mergeCell ref="M4:M5"/>
    <mergeCell ref="S4:S5"/>
    <mergeCell ref="N3:O3"/>
    <mergeCell ref="Q3:R3"/>
    <mergeCell ref="T3:U3"/>
    <mergeCell ref="N2:O2"/>
    <mergeCell ref="Q2:R2"/>
    <mergeCell ref="T2:U2"/>
    <mergeCell ref="V4:V5"/>
    <mergeCell ref="N4:N5"/>
    <mergeCell ref="O4:O5"/>
    <mergeCell ref="Q4:Q5"/>
    <mergeCell ref="R4:R5"/>
    <mergeCell ref="T4:T5"/>
    <mergeCell ref="U4:U5"/>
    <mergeCell ref="P4:P5"/>
    <mergeCell ref="CD2:CD5"/>
    <mergeCell ref="CE2:CE5"/>
    <mergeCell ref="CF2:CF5"/>
    <mergeCell ref="CK5:CO5"/>
    <mergeCell ref="BT2:BT5"/>
    <mergeCell ref="BU2:BU4"/>
    <mergeCell ref="BV2:BV4"/>
    <mergeCell ref="BW2:BW4"/>
    <mergeCell ref="BX2:BX4"/>
    <mergeCell ref="BY2:BY4"/>
    <mergeCell ref="BZ2:BZ5"/>
    <mergeCell ref="BU5:BY5"/>
    <mergeCell ref="CA2:CA5"/>
    <mergeCell ref="CB2:CB5"/>
    <mergeCell ref="CC2:CC5"/>
    <mergeCell ref="BO2:BO5"/>
    <mergeCell ref="BP2:BP5"/>
    <mergeCell ref="BQ2:BQ5"/>
    <mergeCell ref="BR2:BR5"/>
    <mergeCell ref="BS2:BS5"/>
    <mergeCell ref="AY4:AY5"/>
    <mergeCell ref="BA4:BA5"/>
    <mergeCell ref="BD2:BE2"/>
    <mergeCell ref="BA2:BB2"/>
    <mergeCell ref="BG2:BG5"/>
    <mergeCell ref="BH2:BH5"/>
    <mergeCell ref="BI2:BI5"/>
    <mergeCell ref="BJ2:BJ5"/>
    <mergeCell ref="BK2:BK5"/>
    <mergeCell ref="BL2:BL5"/>
    <mergeCell ref="BF4:BF5"/>
    <mergeCell ref="BC4:BC5"/>
    <mergeCell ref="BA3:BB3"/>
    <mergeCell ref="BD3:BE3"/>
    <mergeCell ref="BB4:BB5"/>
    <mergeCell ref="BD4:BD5"/>
    <mergeCell ref="BE4:BE5"/>
    <mergeCell ref="AZ4:AZ5"/>
    <mergeCell ref="BM2:BM5"/>
    <mergeCell ref="BN2:BN5"/>
    <mergeCell ref="AT4:AT5"/>
    <mergeCell ref="AX4:AX5"/>
    <mergeCell ref="AQ4:AQ5"/>
    <mergeCell ref="AV4:AV5"/>
    <mergeCell ref="AW4:AW5"/>
    <mergeCell ref="AI2:AJ2"/>
    <mergeCell ref="AL2:AM2"/>
    <mergeCell ref="AO2:AP2"/>
    <mergeCell ref="AR2:AS2"/>
    <mergeCell ref="AU2:AV2"/>
    <mergeCell ref="AX2:AY2"/>
    <mergeCell ref="AI3:AJ3"/>
    <mergeCell ref="AL3:AM3"/>
    <mergeCell ref="AO3:AP3"/>
    <mergeCell ref="AR3:AS3"/>
    <mergeCell ref="AN4:AN5"/>
    <mergeCell ref="AL4:AL5"/>
    <mergeCell ref="AM4:AM5"/>
    <mergeCell ref="AI4:AI5"/>
    <mergeCell ref="AJ4:AJ5"/>
    <mergeCell ref="AK4:AK5"/>
    <mergeCell ref="AU3:AV3"/>
    <mergeCell ref="AX3:AY3"/>
    <mergeCell ref="W2:X2"/>
    <mergeCell ref="Z2:AA2"/>
    <mergeCell ref="AC2:AD2"/>
    <mergeCell ref="AF2:AG2"/>
    <mergeCell ref="W3:X3"/>
    <mergeCell ref="Z3:AA3"/>
    <mergeCell ref="AO4:AO5"/>
    <mergeCell ref="AP4:AP5"/>
    <mergeCell ref="AR4:AR5"/>
    <mergeCell ref="X4:X5"/>
    <mergeCell ref="Z4:Z5"/>
    <mergeCell ref="W4:W5"/>
    <mergeCell ref="AS4:AS5"/>
    <mergeCell ref="AU4:AU5"/>
    <mergeCell ref="AC3:AD3"/>
    <mergeCell ref="AF3:AG3"/>
    <mergeCell ref="Y4:Y5"/>
    <mergeCell ref="AE4:AE5"/>
    <mergeCell ref="AH4:AH5"/>
    <mergeCell ref="AA4:AA5"/>
    <mergeCell ref="AC4:AC5"/>
    <mergeCell ref="AD4:AD5"/>
    <mergeCell ref="AF4:AF5"/>
    <mergeCell ref="AG4:AG5"/>
    <mergeCell ref="AB4:AB5"/>
  </mergeCells>
  <hyperlinks>
    <hyperlink ref="A1" location="menu!A1" display="Menu Utama" xr:uid="{00000000-0004-0000-0300-000000000000}"/>
  </hyperlinks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data mapel</vt:lpstr>
      <vt:lpstr>data siswa</vt:lpstr>
      <vt:lpstr>menu</vt:lpstr>
      <vt:lpstr>data</vt:lpstr>
      <vt:lpstr>adi</vt:lpstr>
      <vt:lpstr>gotong</vt:lpstr>
      <vt:lpstr>integritas</vt:lpstr>
      <vt:lpstr>kelas</vt:lpstr>
      <vt:lpstr>mandiri</vt:lpstr>
      <vt:lpstr>mapel</vt:lpstr>
      <vt:lpstr>nasionalis</vt:lpstr>
      <vt:lpstr>religius</vt:lpstr>
      <vt:lpstr>siswa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white-pc</cp:lastModifiedBy>
  <cp:revision/>
  <dcterms:created xsi:type="dcterms:W3CDTF">2021-05-31T06:43:05Z</dcterms:created>
  <dcterms:modified xsi:type="dcterms:W3CDTF">2022-12-14T14:37:05Z</dcterms:modified>
  <cp:category/>
  <cp:contentStatus/>
</cp:coreProperties>
</file>